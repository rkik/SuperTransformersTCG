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kik\OneDrive\Documents\SuperTransformersTCG\"/>
    </mc:Choice>
  </mc:AlternateContent>
  <bookViews>
    <workbookView xWindow="0" yWindow="0" windowWidth="28800" windowHeight="12360"/>
  </bookViews>
  <sheets>
    <sheet name="Bots" sheetId="1" r:id="rId1"/>
    <sheet name="BattleCard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N2" i="1"/>
  <c r="M2" i="1"/>
  <c r="L2" i="1"/>
  <c r="J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2" i="1"/>
  <c r="B3" i="2" l="1"/>
  <c r="B4" i="2"/>
  <c r="C4" i="2" s="1"/>
  <c r="B5" i="2"/>
  <c r="B6" i="2"/>
  <c r="D6" i="2" s="1"/>
  <c r="F6" i="2" s="1"/>
  <c r="B7" i="2"/>
  <c r="D7" i="2" s="1"/>
  <c r="B8" i="2"/>
  <c r="C8" i="2" s="1"/>
  <c r="B9" i="2"/>
  <c r="B10" i="2"/>
  <c r="D10" i="2" s="1"/>
  <c r="E10" i="2" s="1"/>
  <c r="B11" i="2"/>
  <c r="C11" i="2" s="1"/>
  <c r="B12" i="2"/>
  <c r="C12" i="2" s="1"/>
  <c r="B13" i="2"/>
  <c r="B14" i="2"/>
  <c r="D14" i="2" s="1"/>
  <c r="F14" i="2" s="1"/>
  <c r="B15" i="2"/>
  <c r="B16" i="2"/>
  <c r="C16" i="2" s="1"/>
  <c r="B17" i="2"/>
  <c r="B18" i="2"/>
  <c r="D18" i="2" s="1"/>
  <c r="E18" i="2" s="1"/>
  <c r="B19" i="2"/>
  <c r="D19" i="2" s="1"/>
  <c r="B20" i="2"/>
  <c r="C20" i="2" s="1"/>
  <c r="B21" i="2"/>
  <c r="B22" i="2"/>
  <c r="D22" i="2" s="1"/>
  <c r="E22" i="2" s="1"/>
  <c r="B23" i="2"/>
  <c r="C23" i="2" s="1"/>
  <c r="B24" i="2"/>
  <c r="C24" i="2" s="1"/>
  <c r="B25" i="2"/>
  <c r="B26" i="2"/>
  <c r="D26" i="2" s="1"/>
  <c r="E26" i="2" s="1"/>
  <c r="B27" i="2"/>
  <c r="C27" i="2" s="1"/>
  <c r="B28" i="2"/>
  <c r="C28" i="2" s="1"/>
  <c r="B29" i="2"/>
  <c r="B30" i="2"/>
  <c r="D30" i="2" s="1"/>
  <c r="F30" i="2" s="1"/>
  <c r="B31" i="2"/>
  <c r="D31" i="2" s="1"/>
  <c r="B32" i="2"/>
  <c r="C32" i="2" s="1"/>
  <c r="B33" i="2"/>
  <c r="B34" i="2"/>
  <c r="D34" i="2" s="1"/>
  <c r="E34" i="2" s="1"/>
  <c r="B35" i="2"/>
  <c r="D35" i="2" s="1"/>
  <c r="B36" i="2"/>
  <c r="C36" i="2" s="1"/>
  <c r="B37" i="2"/>
  <c r="B38" i="2"/>
  <c r="D38" i="2" s="1"/>
  <c r="E38" i="2" s="1"/>
  <c r="B39" i="2"/>
  <c r="C39" i="2" s="1"/>
  <c r="B40" i="2"/>
  <c r="C40" i="2" s="1"/>
  <c r="B41" i="2"/>
  <c r="B42" i="2"/>
  <c r="D42" i="2" s="1"/>
  <c r="E42" i="2" s="1"/>
  <c r="B43" i="2"/>
  <c r="C43" i="2" s="1"/>
  <c r="B44" i="2"/>
  <c r="C44" i="2" s="1"/>
  <c r="B45" i="2"/>
  <c r="B46" i="2"/>
  <c r="D46" i="2" s="1"/>
  <c r="F46" i="2" s="1"/>
  <c r="B47" i="2"/>
  <c r="D47" i="2" s="1"/>
  <c r="B48" i="2"/>
  <c r="C48" i="2" s="1"/>
  <c r="B49" i="2"/>
  <c r="B50" i="2"/>
  <c r="D50" i="2" s="1"/>
  <c r="E50" i="2" s="1"/>
  <c r="B51" i="2"/>
  <c r="B52" i="2"/>
  <c r="C52" i="2" s="1"/>
  <c r="B53" i="2"/>
  <c r="B54" i="2"/>
  <c r="D54" i="2" s="1"/>
  <c r="E54" i="2" s="1"/>
  <c r="B55" i="2"/>
  <c r="D55" i="2" s="1"/>
  <c r="B56" i="2"/>
  <c r="C56" i="2" s="1"/>
  <c r="B57" i="2"/>
  <c r="B58" i="2"/>
  <c r="D58" i="2" s="1"/>
  <c r="E58" i="2" s="1"/>
  <c r="B59" i="2"/>
  <c r="D59" i="2" s="1"/>
  <c r="B60" i="2"/>
  <c r="C60" i="2" s="1"/>
  <c r="B61" i="2"/>
  <c r="B62" i="2"/>
  <c r="D62" i="2" s="1"/>
  <c r="F62" i="2" s="1"/>
  <c r="B63" i="2"/>
  <c r="B64" i="2"/>
  <c r="C64" i="2" s="1"/>
  <c r="B65" i="2"/>
  <c r="B66" i="2"/>
  <c r="D66" i="2" s="1"/>
  <c r="E66" i="2" s="1"/>
  <c r="B67" i="2"/>
  <c r="B68" i="2"/>
  <c r="C68" i="2" s="1"/>
  <c r="B69" i="2"/>
  <c r="B70" i="2"/>
  <c r="D70" i="2" s="1"/>
  <c r="E70" i="2" s="1"/>
  <c r="B71" i="2"/>
  <c r="D71" i="2" s="1"/>
  <c r="B72" i="2"/>
  <c r="C72" i="2" s="1"/>
  <c r="B73" i="2"/>
  <c r="B74" i="2"/>
  <c r="D74" i="2" s="1"/>
  <c r="E74" i="2" s="1"/>
  <c r="B75" i="2"/>
  <c r="C75" i="2" s="1"/>
  <c r="B76" i="2"/>
  <c r="C76" i="2" s="1"/>
  <c r="B77" i="2"/>
  <c r="B78" i="2"/>
  <c r="D78" i="2" s="1"/>
  <c r="F78" i="2" s="1"/>
  <c r="B79" i="2"/>
  <c r="B80" i="2"/>
  <c r="C80" i="2" s="1"/>
  <c r="B81" i="2"/>
  <c r="B82" i="2"/>
  <c r="D82" i="2" s="1"/>
  <c r="E82" i="2" s="1"/>
  <c r="B83" i="2"/>
  <c r="D83" i="2" s="1"/>
  <c r="B84" i="2"/>
  <c r="C84" i="2" s="1"/>
  <c r="E6" i="2"/>
  <c r="E14" i="2"/>
  <c r="E25" i="2"/>
  <c r="E41" i="2"/>
  <c r="E46" i="2"/>
  <c r="E78" i="2"/>
  <c r="F34" i="2"/>
  <c r="F39" i="2"/>
  <c r="F66" i="2"/>
  <c r="D3" i="2"/>
  <c r="D5" i="2"/>
  <c r="F5" i="2" s="1"/>
  <c r="D9" i="2"/>
  <c r="F9" i="2" s="1"/>
  <c r="D11" i="2"/>
  <c r="E11" i="2" s="1"/>
  <c r="D13" i="2"/>
  <c r="D15" i="2"/>
  <c r="E15" i="2" s="1"/>
  <c r="D16" i="2"/>
  <c r="E16" i="2" s="1"/>
  <c r="D17" i="2"/>
  <c r="F17" i="2" s="1"/>
  <c r="D21" i="2"/>
  <c r="F21" i="2" s="1"/>
  <c r="D23" i="2"/>
  <c r="E23" i="2" s="1"/>
  <c r="D25" i="2"/>
  <c r="F25" i="2" s="1"/>
  <c r="D27" i="2"/>
  <c r="E27" i="2" s="1"/>
  <c r="D28" i="2"/>
  <c r="E28" i="2" s="1"/>
  <c r="D29" i="2"/>
  <c r="D33" i="2"/>
  <c r="F33" i="2" s="1"/>
  <c r="D37" i="2"/>
  <c r="F37" i="2" s="1"/>
  <c r="D39" i="2"/>
  <c r="E39" i="2" s="1"/>
  <c r="D40" i="2"/>
  <c r="D41" i="2"/>
  <c r="F41" i="2" s="1"/>
  <c r="D45" i="2"/>
  <c r="D49" i="2"/>
  <c r="F49" i="2" s="1"/>
  <c r="D51" i="2"/>
  <c r="D53" i="2"/>
  <c r="F53" i="2" s="1"/>
  <c r="D57" i="2"/>
  <c r="F57" i="2" s="1"/>
  <c r="D61" i="2"/>
  <c r="D63" i="2"/>
  <c r="E63" i="2" s="1"/>
  <c r="D65" i="2"/>
  <c r="F65" i="2" s="1"/>
  <c r="D67" i="2"/>
  <c r="D69" i="2"/>
  <c r="F69" i="2" s="1"/>
  <c r="D73" i="2"/>
  <c r="F73" i="2" s="1"/>
  <c r="D75" i="2"/>
  <c r="E75" i="2" s="1"/>
  <c r="D77" i="2"/>
  <c r="D79" i="2"/>
  <c r="E79" i="2" s="1"/>
  <c r="D80" i="2"/>
  <c r="E80" i="2" s="1"/>
  <c r="D81" i="2"/>
  <c r="F81" i="2" s="1"/>
  <c r="C3" i="2"/>
  <c r="C5" i="2"/>
  <c r="C9" i="2"/>
  <c r="C10" i="2"/>
  <c r="C13" i="2"/>
  <c r="C14" i="2"/>
  <c r="C15" i="2"/>
  <c r="C17" i="2"/>
  <c r="C18" i="2"/>
  <c r="C19" i="2"/>
  <c r="C21" i="2"/>
  <c r="C25" i="2"/>
  <c r="C26" i="2"/>
  <c r="C29" i="2"/>
  <c r="C30" i="2"/>
  <c r="C31" i="2"/>
  <c r="C33" i="2"/>
  <c r="C34" i="2"/>
  <c r="C35" i="2"/>
  <c r="C37" i="2"/>
  <c r="C41" i="2"/>
  <c r="C42" i="2"/>
  <c r="C45" i="2"/>
  <c r="C46" i="2"/>
  <c r="C47" i="2"/>
  <c r="C49" i="2"/>
  <c r="C50" i="2"/>
  <c r="C51" i="2"/>
  <c r="C53" i="2"/>
  <c r="C57" i="2"/>
  <c r="C58" i="2"/>
  <c r="C61" i="2"/>
  <c r="C62" i="2"/>
  <c r="C63" i="2"/>
  <c r="C65" i="2"/>
  <c r="C66" i="2"/>
  <c r="C67" i="2"/>
  <c r="C69" i="2"/>
  <c r="C73" i="2"/>
  <c r="C74" i="2"/>
  <c r="C77" i="2"/>
  <c r="C78" i="2"/>
  <c r="C79" i="2"/>
  <c r="C81" i="2"/>
  <c r="C82" i="2"/>
  <c r="C83" i="2"/>
  <c r="C2" i="2"/>
  <c r="B2" i="2"/>
  <c r="D2" i="2" s="1"/>
  <c r="J9" i="2"/>
  <c r="J13" i="2"/>
  <c r="J29" i="2"/>
  <c r="J45" i="2"/>
  <c r="J61" i="2"/>
  <c r="J77" i="2"/>
  <c r="J14" i="2"/>
  <c r="J30" i="2"/>
  <c r="J46" i="2"/>
  <c r="J62" i="2"/>
  <c r="J78" i="2"/>
  <c r="J15" i="2"/>
  <c r="J31" i="2"/>
  <c r="J47" i="2"/>
  <c r="J63" i="2"/>
  <c r="J79" i="2"/>
  <c r="J12" i="2"/>
  <c r="J28" i="2"/>
  <c r="J44" i="2"/>
  <c r="J60" i="2"/>
  <c r="J76" i="2"/>
  <c r="J17" i="2"/>
  <c r="J33" i="2"/>
  <c r="J49" i="2"/>
  <c r="J65" i="2"/>
  <c r="J81" i="2"/>
  <c r="J18" i="2"/>
  <c r="J34" i="2"/>
  <c r="J50" i="2"/>
  <c r="J66" i="2"/>
  <c r="J82" i="2"/>
  <c r="J19" i="2"/>
  <c r="J35" i="2"/>
  <c r="J51" i="2"/>
  <c r="J67" i="2"/>
  <c r="J83" i="2"/>
  <c r="J16" i="2"/>
  <c r="J32" i="2"/>
  <c r="J48" i="2"/>
  <c r="J64" i="2"/>
  <c r="J80" i="2"/>
  <c r="J3" i="2"/>
  <c r="J5" i="2"/>
  <c r="J21" i="2"/>
  <c r="J37" i="2"/>
  <c r="J53" i="2"/>
  <c r="J69" i="2"/>
  <c r="J6" i="2"/>
  <c r="J22" i="2"/>
  <c r="J38" i="2"/>
  <c r="J54" i="2"/>
  <c r="J70" i="2"/>
  <c r="J7" i="2"/>
  <c r="J23" i="2"/>
  <c r="J39" i="2"/>
  <c r="J55" i="2"/>
  <c r="J71" i="2"/>
  <c r="J4" i="2"/>
  <c r="J20" i="2"/>
  <c r="J36" i="2"/>
  <c r="J52" i="2"/>
  <c r="J68" i="2"/>
  <c r="J84" i="2"/>
  <c r="J25" i="2"/>
  <c r="J41" i="2"/>
  <c r="J57" i="2"/>
  <c r="J73" i="2"/>
  <c r="J10" i="2"/>
  <c r="J26" i="2"/>
  <c r="J42" i="2"/>
  <c r="J58" i="2"/>
  <c r="J74" i="2"/>
  <c r="J11" i="2"/>
  <c r="J27" i="2"/>
  <c r="J43" i="2"/>
  <c r="J59" i="2"/>
  <c r="J75" i="2"/>
  <c r="J8" i="2"/>
  <c r="J24" i="2"/>
  <c r="J40" i="2"/>
  <c r="J56" i="2"/>
  <c r="J72" i="2"/>
  <c r="J2" i="2"/>
  <c r="E2" i="2" l="1"/>
  <c r="F2" i="2"/>
  <c r="E71" i="2"/>
  <c r="F71" i="2"/>
  <c r="E59" i="2"/>
  <c r="F59" i="2"/>
  <c r="E55" i="2"/>
  <c r="F55" i="2"/>
  <c r="E47" i="2"/>
  <c r="F47" i="2"/>
  <c r="E31" i="2"/>
  <c r="F31" i="2"/>
  <c r="E7" i="2"/>
  <c r="F7" i="2"/>
  <c r="F80" i="2"/>
  <c r="F28" i="2"/>
  <c r="F16" i="2"/>
  <c r="E57" i="2"/>
  <c r="D56" i="2"/>
  <c r="D44" i="2"/>
  <c r="D32" i="2"/>
  <c r="F79" i="2"/>
  <c r="F27" i="2"/>
  <c r="F15" i="2"/>
  <c r="C71" i="2"/>
  <c r="C55" i="2"/>
  <c r="C7" i="2"/>
  <c r="D72" i="2"/>
  <c r="E72" i="2" s="1"/>
  <c r="D60" i="2"/>
  <c r="D48" i="2"/>
  <c r="D43" i="2"/>
  <c r="D8" i="2"/>
  <c r="F8" i="2" s="1"/>
  <c r="F23" i="2"/>
  <c r="E73" i="2"/>
  <c r="C70" i="2"/>
  <c r="C59" i="2"/>
  <c r="C54" i="2"/>
  <c r="C38" i="2"/>
  <c r="C22" i="2"/>
  <c r="C6" i="2"/>
  <c r="D76" i="2"/>
  <c r="D64" i="2"/>
  <c r="D24" i="2"/>
  <c r="D12" i="2"/>
  <c r="F82" i="2"/>
  <c r="F75" i="2"/>
  <c r="F63" i="2"/>
  <c r="F50" i="2"/>
  <c r="F18" i="2"/>
  <c r="F11" i="2"/>
  <c r="E62" i="2"/>
  <c r="E30" i="2"/>
  <c r="E5" i="2"/>
  <c r="E83" i="2"/>
  <c r="F83" i="2"/>
  <c r="F77" i="2"/>
  <c r="E77" i="2"/>
  <c r="F72" i="2"/>
  <c r="E19" i="2"/>
  <c r="F19" i="2"/>
  <c r="F13" i="2"/>
  <c r="E13" i="2"/>
  <c r="E8" i="2"/>
  <c r="E35" i="2"/>
  <c r="F35" i="2"/>
  <c r="F29" i="2"/>
  <c r="E29" i="2"/>
  <c r="F24" i="2"/>
  <c r="E24" i="2"/>
  <c r="E51" i="2"/>
  <c r="F51" i="2"/>
  <c r="F45" i="2"/>
  <c r="E45" i="2"/>
  <c r="F40" i="2"/>
  <c r="E40" i="2"/>
  <c r="E67" i="2"/>
  <c r="F67" i="2"/>
  <c r="F61" i="2"/>
  <c r="E61" i="2"/>
  <c r="F56" i="2"/>
  <c r="E56" i="2"/>
  <c r="E3" i="2"/>
  <c r="F3" i="2"/>
  <c r="F70" i="2"/>
  <c r="F54" i="2"/>
  <c r="F38" i="2"/>
  <c r="F22" i="2"/>
  <c r="F74" i="2"/>
  <c r="F58" i="2"/>
  <c r="F42" i="2"/>
  <c r="F26" i="2"/>
  <c r="F10" i="2"/>
  <c r="E81" i="2"/>
  <c r="E65" i="2"/>
  <c r="E49" i="2"/>
  <c r="E33" i="2"/>
  <c r="E17" i="2"/>
  <c r="D84" i="2"/>
  <c r="D68" i="2"/>
  <c r="D52" i="2"/>
  <c r="D36" i="2"/>
  <c r="D20" i="2"/>
  <c r="D4" i="2"/>
  <c r="E69" i="2"/>
  <c r="E53" i="2"/>
  <c r="E37" i="2"/>
  <c r="E21" i="2"/>
  <c r="E9" i="2"/>
  <c r="E3" i="1"/>
  <c r="H3" i="1" s="1"/>
  <c r="I3" i="1" s="1"/>
  <c r="E4" i="1"/>
  <c r="H4" i="1" s="1"/>
  <c r="I4" i="1" s="1"/>
  <c r="E5" i="1"/>
  <c r="H5" i="1" s="1"/>
  <c r="I5" i="1" s="1"/>
  <c r="E6" i="1"/>
  <c r="H6" i="1" s="1"/>
  <c r="I6" i="1" s="1"/>
  <c r="E7" i="1"/>
  <c r="H7" i="1" s="1"/>
  <c r="I7" i="1" s="1"/>
  <c r="E8" i="1"/>
  <c r="H8" i="1" s="1"/>
  <c r="I8" i="1" s="1"/>
  <c r="E9" i="1"/>
  <c r="H9" i="1" s="1"/>
  <c r="I9" i="1" s="1"/>
  <c r="E10" i="1"/>
  <c r="H10" i="1" s="1"/>
  <c r="I10" i="1" s="1"/>
  <c r="E11" i="1"/>
  <c r="H11" i="1" s="1"/>
  <c r="I11" i="1" s="1"/>
  <c r="E12" i="1"/>
  <c r="H12" i="1" s="1"/>
  <c r="I12" i="1" s="1"/>
  <c r="E13" i="1"/>
  <c r="H13" i="1" s="1"/>
  <c r="I13" i="1" s="1"/>
  <c r="E14" i="1"/>
  <c r="H14" i="1" s="1"/>
  <c r="I14" i="1" s="1"/>
  <c r="E15" i="1"/>
  <c r="H15" i="1" s="1"/>
  <c r="I15" i="1" s="1"/>
  <c r="E16" i="1"/>
  <c r="H16" i="1" s="1"/>
  <c r="I16" i="1" s="1"/>
  <c r="E17" i="1"/>
  <c r="H17" i="1" s="1"/>
  <c r="I17" i="1" s="1"/>
  <c r="E18" i="1"/>
  <c r="H18" i="1" s="1"/>
  <c r="I18" i="1" s="1"/>
  <c r="E19" i="1"/>
  <c r="H19" i="1" s="1"/>
  <c r="I19" i="1" s="1"/>
  <c r="E20" i="1"/>
  <c r="H20" i="1" s="1"/>
  <c r="I20" i="1" s="1"/>
  <c r="E21" i="1"/>
  <c r="H21" i="1" s="1"/>
  <c r="I21" i="1" s="1"/>
  <c r="E22" i="1"/>
  <c r="H22" i="1" s="1"/>
  <c r="I22" i="1" s="1"/>
  <c r="E23" i="1"/>
  <c r="H23" i="1" s="1"/>
  <c r="I23" i="1" s="1"/>
  <c r="E24" i="1"/>
  <c r="H24" i="1" s="1"/>
  <c r="I24" i="1" s="1"/>
  <c r="E25" i="1"/>
  <c r="H25" i="1" s="1"/>
  <c r="I25" i="1" s="1"/>
  <c r="E26" i="1"/>
  <c r="H26" i="1" s="1"/>
  <c r="I26" i="1" s="1"/>
  <c r="E27" i="1"/>
  <c r="H27" i="1" s="1"/>
  <c r="I27" i="1" s="1"/>
  <c r="E28" i="1"/>
  <c r="H28" i="1" s="1"/>
  <c r="I28" i="1" s="1"/>
  <c r="E29" i="1"/>
  <c r="H29" i="1" s="1"/>
  <c r="I29" i="1" s="1"/>
  <c r="E30" i="1"/>
  <c r="H30" i="1" s="1"/>
  <c r="I30" i="1" s="1"/>
  <c r="E31" i="1"/>
  <c r="H31" i="1" s="1"/>
  <c r="I31" i="1" s="1"/>
  <c r="E32" i="1"/>
  <c r="H32" i="1" s="1"/>
  <c r="I32" i="1" s="1"/>
  <c r="E33" i="1"/>
  <c r="H33" i="1" s="1"/>
  <c r="I33" i="1" s="1"/>
  <c r="E34" i="1"/>
  <c r="H34" i="1" s="1"/>
  <c r="I34" i="1" s="1"/>
  <c r="E35" i="1"/>
  <c r="H35" i="1" s="1"/>
  <c r="I35" i="1" s="1"/>
  <c r="E36" i="1"/>
  <c r="H36" i="1" s="1"/>
  <c r="I36" i="1" s="1"/>
  <c r="E37" i="1"/>
  <c r="H37" i="1" s="1"/>
  <c r="I37" i="1" s="1"/>
  <c r="E38" i="1"/>
  <c r="H38" i="1" s="1"/>
  <c r="I38" i="1" s="1"/>
  <c r="E39" i="1"/>
  <c r="H39" i="1" s="1"/>
  <c r="I39" i="1" s="1"/>
  <c r="E40" i="1"/>
  <c r="H40" i="1" s="1"/>
  <c r="I40" i="1" s="1"/>
  <c r="E41" i="1"/>
  <c r="H41" i="1" s="1"/>
  <c r="I41" i="1" s="1"/>
  <c r="E42" i="1"/>
  <c r="H42" i="1" s="1"/>
  <c r="I42" i="1" s="1"/>
  <c r="E43" i="1"/>
  <c r="H43" i="1" s="1"/>
  <c r="I43" i="1" s="1"/>
  <c r="E44" i="1"/>
  <c r="H44" i="1" s="1"/>
  <c r="I44" i="1" s="1"/>
  <c r="E45" i="1"/>
  <c r="H45" i="1" s="1"/>
  <c r="I45" i="1" s="1"/>
  <c r="E46" i="1"/>
  <c r="H46" i="1" s="1"/>
  <c r="I46" i="1" s="1"/>
  <c r="E47" i="1"/>
  <c r="H47" i="1" s="1"/>
  <c r="I47" i="1" s="1"/>
  <c r="E2" i="1"/>
  <c r="H2" i="1" s="1"/>
  <c r="I2" i="1" s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2" i="1"/>
  <c r="E12" i="2" l="1"/>
  <c r="F12" i="2"/>
  <c r="E44" i="2"/>
  <c r="F44" i="2"/>
  <c r="E43" i="2"/>
  <c r="F43" i="2"/>
  <c r="E64" i="2"/>
  <c r="F64" i="2"/>
  <c r="E48" i="2"/>
  <c r="F48" i="2"/>
  <c r="E76" i="2"/>
  <c r="F76" i="2"/>
  <c r="E60" i="2"/>
  <c r="F60" i="2"/>
  <c r="E32" i="2"/>
  <c r="F32" i="2"/>
  <c r="E4" i="2"/>
  <c r="F4" i="2"/>
  <c r="F68" i="2"/>
  <c r="E68" i="2"/>
  <c r="F20" i="2"/>
  <c r="E20" i="2"/>
  <c r="F84" i="2"/>
  <c r="E84" i="2"/>
  <c r="F36" i="2"/>
  <c r="E36" i="2"/>
  <c r="F52" i="2"/>
  <c r="E52" i="2"/>
</calcChain>
</file>

<file path=xl/sharedStrings.xml><?xml version="1.0" encoding="utf-8"?>
<sst xmlns="http://schemas.openxmlformats.org/spreadsheetml/2006/main" count="280" uniqueCount="231">
  <si>
    <t>Card #</t>
  </si>
  <si>
    <t>Card Name</t>
  </si>
  <si>
    <t>Card Flavor</t>
  </si>
  <si>
    <t>Star Cost</t>
  </si>
  <si>
    <t>RT 01/T40</t>
  </si>
  <si>
    <t>Arcee</t>
  </si>
  <si>
    <t>Skilled Fighter</t>
  </si>
  <si>
    <t>RT 02/T40</t>
  </si>
  <si>
    <t>Autobot Cosmos</t>
  </si>
  <si>
    <t>Recon &amp; Communication</t>
  </si>
  <si>
    <t>CT 03/T40</t>
  </si>
  <si>
    <t>Autobot Hound</t>
  </si>
  <si>
    <t>Long Range Scout</t>
  </si>
  <si>
    <t>UT 04/T40</t>
  </si>
  <si>
    <t>Autobot Jazz</t>
  </si>
  <si>
    <t>Special Ops</t>
  </si>
  <si>
    <t>UT 05/T40</t>
  </si>
  <si>
    <t>Autobot Mirage</t>
  </si>
  <si>
    <t>Lone Wolf</t>
  </si>
  <si>
    <t>CT 06/T40</t>
  </si>
  <si>
    <t>Barrage</t>
  </si>
  <si>
    <t>Merciless Insecticon</t>
  </si>
  <si>
    <t>CT 07/T40</t>
  </si>
  <si>
    <t>Bombshell</t>
  </si>
  <si>
    <t>Insecticon Mind-Controller</t>
  </si>
  <si>
    <t>CT 08/T40</t>
  </si>
  <si>
    <t>Bumblebee</t>
  </si>
  <si>
    <t>Courageous Scout</t>
  </si>
  <si>
    <t>SRT 09/T40</t>
  </si>
  <si>
    <t>Bumblebee </t>
  </si>
  <si>
    <t>Legendary Warrior</t>
  </si>
  <si>
    <t>UT 10/T40</t>
  </si>
  <si>
    <t>Chop Shop</t>
  </si>
  <si>
    <t>Sneaky Insecticon</t>
  </si>
  <si>
    <t>RT 11/T40</t>
  </si>
  <si>
    <t>Chromia </t>
  </si>
  <si>
    <t>RT 12/T40</t>
  </si>
  <si>
    <t>Darkmount </t>
  </si>
  <si>
    <t>Cruel Overlord</t>
  </si>
  <si>
    <t>UT 13/T40</t>
  </si>
  <si>
    <t>Deadlock </t>
  </si>
  <si>
    <t>Bounty Hunter</t>
  </si>
  <si>
    <t>RT 14/T40</t>
  </si>
  <si>
    <t>Decepticon Shockwave</t>
  </si>
  <si>
    <t>Cybertron Commander</t>
  </si>
  <si>
    <t>UT 15/T40</t>
  </si>
  <si>
    <t>Demolisher</t>
  </si>
  <si>
    <t>Devoted Decepticon </t>
  </si>
  <si>
    <t>UT 16/T40</t>
  </si>
  <si>
    <t>Dinobot Sludge</t>
  </si>
  <si>
    <t>Mighty Stomper</t>
  </si>
  <si>
    <t>CT 17/T40</t>
  </si>
  <si>
    <t>Dinobot Slug</t>
  </si>
  <si>
    <t>Hot-Header Warrior</t>
  </si>
  <si>
    <t>UT 18/T40</t>
  </si>
  <si>
    <t>Dinobot Snarl</t>
  </si>
  <si>
    <t>Desert Warrior</t>
  </si>
  <si>
    <t>CT 19/T40</t>
  </si>
  <si>
    <t>Dinobot Swoop</t>
  </si>
  <si>
    <t>Fearsome Flyer</t>
  </si>
  <si>
    <t>CT 20/T40</t>
  </si>
  <si>
    <t>Flamewar</t>
  </si>
  <si>
    <t>Veteran Decepticon</t>
  </si>
  <si>
    <t>RT 21/T40</t>
  </si>
  <si>
    <t>Grimlock </t>
  </si>
  <si>
    <t>Dinobot Leader</t>
  </si>
  <si>
    <t>UT 22/T40</t>
  </si>
  <si>
    <t>Inferno </t>
  </si>
  <si>
    <t>Fearless Firefighter</t>
  </si>
  <si>
    <t>RT 23/T40</t>
  </si>
  <si>
    <t>Insecticon Skrapnet</t>
  </si>
  <si>
    <t>Insecticon Leader</t>
  </si>
  <si>
    <t>UT 24/T40</t>
  </si>
  <si>
    <t>Jetfire</t>
  </si>
  <si>
    <t>Air Guardian</t>
  </si>
  <si>
    <t>UT 25/T40</t>
  </si>
  <si>
    <t>Kickback </t>
  </si>
  <si>
    <t>Cunning Insecticon</t>
  </si>
  <si>
    <t>CT 26/T40</t>
  </si>
  <si>
    <t>Megatron</t>
  </si>
  <si>
    <t>Decepticon Leader</t>
  </si>
  <si>
    <t>RT 27/T40</t>
  </si>
  <si>
    <t>Megatron </t>
  </si>
  <si>
    <t>Living Weapon</t>
  </si>
  <si>
    <t>SRT 28/T40</t>
  </si>
  <si>
    <t>Nemesis Prime</t>
  </si>
  <si>
    <t>Dark Clone</t>
  </si>
  <si>
    <t>RT 29/T40</t>
  </si>
  <si>
    <t>Optimus Prime</t>
  </si>
  <si>
    <t>Battlefield Legend</t>
  </si>
  <si>
    <t>CT 30/T40</t>
  </si>
  <si>
    <t>Freedom Fighter</t>
  </si>
  <si>
    <t>UT 31/T40</t>
  </si>
  <si>
    <t>Prowl </t>
  </si>
  <si>
    <t>Military Strategist</t>
  </si>
  <si>
    <t>CT 32/T40</t>
  </si>
  <si>
    <t>Ramjet</t>
  </si>
  <si>
    <t>Sky Smasher</t>
  </si>
  <si>
    <t>UT 33/T40</t>
  </si>
  <si>
    <t>Ransack </t>
  </si>
  <si>
    <t> Insecticon Commando</t>
  </si>
  <si>
    <t>CT 34/T40</t>
  </si>
  <si>
    <t>Sergeant Kup</t>
  </si>
  <si>
    <t>Veteran Sergeant</t>
  </si>
  <si>
    <t>UT 35/T40</t>
  </si>
  <si>
    <t>Skywarp </t>
  </si>
  <si>
    <t>Sneaky Prankster</t>
  </si>
  <si>
    <t>UT 36/T40</t>
  </si>
  <si>
    <t>Starscream </t>
  </si>
  <si>
    <t>Air Commander</t>
  </si>
  <si>
    <t>CT 37/T40</t>
  </si>
  <si>
    <t>Starscream</t>
  </si>
  <si>
    <t>Scheming Second-In-Command</t>
  </si>
  <si>
    <t>RT 38/T40</t>
  </si>
  <si>
    <t>Sunstorm</t>
  </si>
  <si>
    <t>Fusion Flyer</t>
  </si>
  <si>
    <t>UT 39/T40</t>
  </si>
  <si>
    <t>Thundercracker</t>
  </si>
  <si>
    <t>Mach Warrior</t>
  </si>
  <si>
    <t>UT 40/T40</t>
  </si>
  <si>
    <t>Wheeljack </t>
  </si>
  <si>
    <t>Weapons Inventor</t>
  </si>
  <si>
    <t>RT T01/T04</t>
  </si>
  <si>
    <t>Brave Warrior</t>
  </si>
  <si>
    <t>RT T02/T04</t>
  </si>
  <si>
    <t>Ironhide</t>
  </si>
  <si>
    <t>Veteran Autobot</t>
  </si>
  <si>
    <t>RT T03/T04</t>
  </si>
  <si>
    <t>Autobot Leader</t>
  </si>
  <si>
    <t>RT T04/T04</t>
  </si>
  <si>
    <t>Red Alert</t>
  </si>
  <si>
    <t>Security Chief</t>
  </si>
  <si>
    <t>SRT T01/T02</t>
  </si>
  <si>
    <t>CliffJumper</t>
  </si>
  <si>
    <t>Renegade Warrior</t>
  </si>
  <si>
    <t>SRT T02/T02</t>
  </si>
  <si>
    <t>Slipstream</t>
  </si>
  <si>
    <t>Strategic Seeker</t>
  </si>
  <si>
    <t xml:space="preserve">type = 'Character', </t>
  </si>
  <si>
    <t>Trimmed Name</t>
  </si>
  <si>
    <t>Table Field</t>
  </si>
  <si>
    <t>U001/081  Aerial Recon</t>
  </si>
  <si>
    <t>R002/081  Agility of Bumblebee</t>
  </si>
  <si>
    <t>U003/081  Armed Hovercraft</t>
  </si>
  <si>
    <t>C004/081  Armored Plating</t>
  </si>
  <si>
    <t>U005/081  Backup Plan</t>
  </si>
  <si>
    <t>C006/081  Battle Ready</t>
  </si>
  <si>
    <t>U007/081  Blast Shield</t>
  </si>
  <si>
    <t>U008/081  Body Armor</t>
  </si>
  <si>
    <t>R009/081  Bombing Run</t>
  </si>
  <si>
    <t>C010/081  Brainstorm</t>
  </si>
  <si>
    <t>U011/081  Bug Bomb</t>
  </si>
  <si>
    <t>R012/081  Cargo Trailer</t>
  </si>
  <si>
    <t>U013/081  Collateral Damage</t>
  </si>
  <si>
    <t>R014/081  Combat Training</t>
  </si>
  <si>
    <t>U015/081  Computer Sabotage</t>
  </si>
  <si>
    <t>C016/081  Crushing Size</t>
  </si>
  <si>
    <t>U017/081  Crushing Treads</t>
  </si>
  <si>
    <t>R018/081  Cybertonium Bow</t>
  </si>
  <si>
    <t>R019/081  Data Bank</t>
  </si>
  <si>
    <t>C020/081  Data Pad</t>
  </si>
  <si>
    <t>U021/081  Debilitating Crystal</t>
  </si>
  <si>
    <t>R022/081  Dino-Chomp!</t>
  </si>
  <si>
    <t>U023/081  Disarm</t>
  </si>
  <si>
    <t>U024/081  Disruption</t>
  </si>
  <si>
    <t>R025/081  Disruptive Entrance</t>
  </si>
  <si>
    <t>C026/081  Drill Arms</t>
  </si>
  <si>
    <t>U027/081  Emergency Maintenance</t>
  </si>
  <si>
    <t>R028/081  Energon Axe</t>
  </si>
  <si>
    <t>U029/081  Equipment Enthusiast</t>
  </si>
  <si>
    <t>C030/081  Flamethrower</t>
  </si>
  <si>
    <t>C031/081  Force Field</t>
  </si>
  <si>
    <t>R032/081  Fusion Cannon of Megatron</t>
  </si>
  <si>
    <t>U033/081  Grenade Launcher</t>
  </si>
  <si>
    <t>C034/081  Handheld Blaster</t>
  </si>
  <si>
    <t>R035/081  Heroism</t>
  </si>
  <si>
    <t>R036/081  Hunker Down</t>
  </si>
  <si>
    <t>R037/081  I Still Function! </t>
  </si>
  <si>
    <t>C038/081  Improvised Shield</t>
  </si>
  <si>
    <t>C039/081  Incoming Transmission</t>
  </si>
  <si>
    <t>C040/081  Inspiring Leadership</t>
  </si>
  <si>
    <t>R041/081  Ion Blaster of Optimus Prime </t>
  </si>
  <si>
    <t>R042/081  Jaws of Steel</t>
  </si>
  <si>
    <t>U043/081  Leap Into Battle</t>
  </si>
  <si>
    <t>R044/081  Matrix of Leadership</t>
  </si>
  <si>
    <t>C045/081  Medic!</t>
  </si>
  <si>
    <t>C046/081  Multi-Mission Gear</t>
  </si>
  <si>
    <t>U047/081  Multi-Tool</t>
  </si>
  <si>
    <t>U048/081  New Designs</t>
  </si>
  <si>
    <t>C049/081  Null-Ray of Starscream</t>
  </si>
  <si>
    <t>R050/081  One Shall Stand, One Shall Fall</t>
  </si>
  <si>
    <t>R051/081  Peace through Tyranny  </t>
  </si>
  <si>
    <t>R052/081  Photon Bomb </t>
  </si>
  <si>
    <t>R053/081  Piercing Blaster </t>
  </si>
  <si>
    <t>C054/081  Plasma Burst</t>
  </si>
  <si>
    <t>U055/081  Power Sword</t>
  </si>
  <si>
    <t>C056/081  Primary Laser</t>
  </si>
  <si>
    <t>C057/081  Ramming Speed</t>
  </si>
  <si>
    <t>U058/081  Rapid Ascent</t>
  </si>
  <si>
    <t>C059/081  Rapid Conversion</t>
  </si>
  <si>
    <t>C060/081  Ready For Action</t>
  </si>
  <si>
    <t>C061/081  Reinforced Plating</t>
  </si>
  <si>
    <t>C062/081  Repair Bay</t>
  </si>
  <si>
    <t>R063/081  Roll Out!</t>
  </si>
  <si>
    <t>R064/081  Salvage for Parts</t>
  </si>
  <si>
    <t>C065/081  Scrapper Gauntlets</t>
  </si>
  <si>
    <t>R066/081  Security Checkpoint</t>
  </si>
  <si>
    <t>R067/081  Shock Absorbers</t>
  </si>
  <si>
    <t>R068/081  Start Your Engines</t>
  </si>
  <si>
    <t>R069/081  Static Laser of Ironhide</t>
  </si>
  <si>
    <t>U070/081  Strafing Run</t>
  </si>
  <si>
    <t>C071/081  Supercharge</t>
  </si>
  <si>
    <t>U072/081  Swap Missions</t>
  </si>
  <si>
    <t>C073/081  Swap Parts</t>
  </si>
  <si>
    <t>R074/081  Swarm!</t>
  </si>
  <si>
    <t>R075/081  System Reboot</t>
  </si>
  <si>
    <t>R076/081  Team-Up Tactics</t>
  </si>
  <si>
    <t>R077/081  The Bigger They Are</t>
  </si>
  <si>
    <t>R078/081  Thermal Weaponry</t>
  </si>
  <si>
    <t>U079/081  Treasure Hunt</t>
  </si>
  <si>
    <t>U080/081  Turbo Boosters</t>
  </si>
  <si>
    <t>C081/081  Zap</t>
  </si>
  <si>
    <t>R001/002 – All Out Attack</t>
  </si>
  <si>
    <t>R002/002 – Tandem Targeting System</t>
  </si>
  <si>
    <t>RarityNum</t>
  </si>
  <si>
    <t>Set</t>
  </si>
  <si>
    <t>Name</t>
  </si>
  <si>
    <t>Link</t>
  </si>
  <si>
    <t>Attack</t>
  </si>
  <si>
    <t>Defense</t>
  </si>
  <si>
    <t>Grey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</si>
</sst>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123825</xdr:rowOff>
        </xdr:from>
        <xdr:to>
          <xdr:col>15</xdr:col>
          <xdr:colOff>228600</xdr:colOff>
          <xdr:row>6</xdr:row>
          <xdr:rowOff>95250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pojo.com/wp-content/uploads/2018/10/Collateral-Damage-Transformers.jpg" TargetMode="External"/><Relationship Id="rId18" Type="http://schemas.openxmlformats.org/officeDocument/2006/relationships/hyperlink" Target="https://www.pojo.com/wp-content/uploads/2018/10/Cybertonium-Bow.jpg" TargetMode="External"/><Relationship Id="rId26" Type="http://schemas.openxmlformats.org/officeDocument/2006/relationships/hyperlink" Target="https://www.pojo.com/wp-content/uploads/2018/09/drill-arm-transformers-tcg-1.jpg" TargetMode="External"/><Relationship Id="rId39" Type="http://schemas.openxmlformats.org/officeDocument/2006/relationships/hyperlink" Target="https://www.pojo.com/wp-content/uploads/2018/10/Incoming-Transmission-transformers.jpg" TargetMode="External"/><Relationship Id="rId21" Type="http://schemas.openxmlformats.org/officeDocument/2006/relationships/hyperlink" Target="https://www.pojo.com/wp-content/uploads/2018/10/Debilitating-Crystal-Transformers.jpg" TargetMode="External"/><Relationship Id="rId34" Type="http://schemas.openxmlformats.org/officeDocument/2006/relationships/hyperlink" Target="https://www.pojo.com/wp-content/uploads/2018/10/Handheld-Blaster.jpg" TargetMode="External"/><Relationship Id="rId42" Type="http://schemas.openxmlformats.org/officeDocument/2006/relationships/hyperlink" Target="https://www.pojo.com/wp-content/uploads/2018/10/Jaws-of-Steel-Transformers.jpg" TargetMode="External"/><Relationship Id="rId47" Type="http://schemas.openxmlformats.org/officeDocument/2006/relationships/hyperlink" Target="https://www.pojo.com/wp-content/uploads/2018/10/Multi-Tool-transformers.png" TargetMode="External"/><Relationship Id="rId50" Type="http://schemas.openxmlformats.org/officeDocument/2006/relationships/hyperlink" Target="https://www.pojo.com/wp-content/uploads/2018/10/One-Shall-Stand-One-Shall-Fall.jpg" TargetMode="External"/><Relationship Id="rId55" Type="http://schemas.openxmlformats.org/officeDocument/2006/relationships/hyperlink" Target="https://www.pojo.com/wp-content/uploads/2018/08/power-sword-u55.jpg" TargetMode="External"/><Relationship Id="rId63" Type="http://schemas.openxmlformats.org/officeDocument/2006/relationships/hyperlink" Target="https://www.pojo.com/wp-content/uploads/2018/10/roll-out-transformers-tcg.jpg" TargetMode="External"/><Relationship Id="rId68" Type="http://schemas.openxmlformats.org/officeDocument/2006/relationships/hyperlink" Target="https://www.pojo.com/wp-content/uploads/2018/09/Start-Your-Engines-Transformers.jpg" TargetMode="External"/><Relationship Id="rId76" Type="http://schemas.openxmlformats.org/officeDocument/2006/relationships/hyperlink" Target="https://www.pojo.com/wp-content/uploads/2018/10/Team-Up-Tactics-Transformers.jpg" TargetMode="External"/><Relationship Id="rId84" Type="http://schemas.openxmlformats.org/officeDocument/2006/relationships/printerSettings" Target="../printerSettings/printerSettings2.bin"/><Relationship Id="rId7" Type="http://schemas.openxmlformats.org/officeDocument/2006/relationships/hyperlink" Target="https://www.pojo.com/wp-content/uploads/2018/10/Blast-Shield-Transformers.jpg" TargetMode="External"/><Relationship Id="rId71" Type="http://schemas.openxmlformats.org/officeDocument/2006/relationships/hyperlink" Target="https://www.pojo.com/wp-content/uploads/2018/10/Supercharge-Transformers.jpg" TargetMode="External"/><Relationship Id="rId2" Type="http://schemas.openxmlformats.org/officeDocument/2006/relationships/hyperlink" Target="https://www.pojo.com/wp-content/uploads/2018/10/agility-of-bumblebee.jpg" TargetMode="External"/><Relationship Id="rId16" Type="http://schemas.openxmlformats.org/officeDocument/2006/relationships/hyperlink" Target="https://www.pojo.com/wp-content/uploads/2018/10/Crushing-Size-Transformers.jpg" TargetMode="External"/><Relationship Id="rId29" Type="http://schemas.openxmlformats.org/officeDocument/2006/relationships/hyperlink" Target="https://www.pojo.com/wp-content/uploads/2018/09/equipment-enthusiast-transformers-tcg-1.jpg" TargetMode="External"/><Relationship Id="rId11" Type="http://schemas.openxmlformats.org/officeDocument/2006/relationships/hyperlink" Target="https://www.pojo.com/wp-content/uploads/2018/09/bug-bomb-transformers-tcg.jpg" TargetMode="External"/><Relationship Id="rId24" Type="http://schemas.openxmlformats.org/officeDocument/2006/relationships/hyperlink" Target="https://www.pojo.com/wp-content/uploads/2018/10/disruption-transformers.jpg" TargetMode="External"/><Relationship Id="rId32" Type="http://schemas.openxmlformats.org/officeDocument/2006/relationships/hyperlink" Target="https://www.pojo.com/wp-content/uploads/2018/10/Fusion-Cannon-of-Megatron.jpg" TargetMode="External"/><Relationship Id="rId37" Type="http://schemas.openxmlformats.org/officeDocument/2006/relationships/hyperlink" Target="https://www.pojo.com/wp-content/uploads/2018/09/i-still-funtion-transformers-tcg.jpg" TargetMode="External"/><Relationship Id="rId40" Type="http://schemas.openxmlformats.org/officeDocument/2006/relationships/hyperlink" Target="https://www.pojo.com/wp-content/uploads/2018/10/Inspiring-Leadership-transformers.jpg" TargetMode="External"/><Relationship Id="rId45" Type="http://schemas.openxmlformats.org/officeDocument/2006/relationships/hyperlink" Target="https://www.pojo.com/wp-content/uploads/2018/09/medic-transformers-tcg-1.jpg" TargetMode="External"/><Relationship Id="rId53" Type="http://schemas.openxmlformats.org/officeDocument/2006/relationships/hyperlink" Target="https://www.pojo.com/wp-content/uploads/2018/10/Piercing-Blaster-Transformers.jpg" TargetMode="External"/><Relationship Id="rId58" Type="http://schemas.openxmlformats.org/officeDocument/2006/relationships/hyperlink" Target="https://www.pojo.com/wp-content/uploads/2018/10/Rapid-Ascent-Transformers.jpg" TargetMode="External"/><Relationship Id="rId66" Type="http://schemas.openxmlformats.org/officeDocument/2006/relationships/hyperlink" Target="https://www.pojo.com/wp-content/uploads/2018/10/Security-Checkpoint-transformers.jpg" TargetMode="External"/><Relationship Id="rId74" Type="http://schemas.openxmlformats.org/officeDocument/2006/relationships/hyperlink" Target="https://www.pojo.com/wp-content/uploads/2018/10/swarm-transformers.jpg" TargetMode="External"/><Relationship Id="rId79" Type="http://schemas.openxmlformats.org/officeDocument/2006/relationships/hyperlink" Target="https://www.pojo.com/wp-content/uploads/2018/10/Treasure-Hunt-Transformers.jpg" TargetMode="External"/><Relationship Id="rId87" Type="http://schemas.openxmlformats.org/officeDocument/2006/relationships/control" Target="../activeX/activeX1.xml"/><Relationship Id="rId5" Type="http://schemas.openxmlformats.org/officeDocument/2006/relationships/hyperlink" Target="https://www.pojo.com/wp-content/uploads/2018/10/Backup-Plan.jpg" TargetMode="External"/><Relationship Id="rId61" Type="http://schemas.openxmlformats.org/officeDocument/2006/relationships/hyperlink" Target="https://www.pojo.com/wp-content/uploads/2018/10/Reinforced-Plating-Transformers.jpg" TargetMode="External"/><Relationship Id="rId82" Type="http://schemas.openxmlformats.org/officeDocument/2006/relationships/hyperlink" Target="https://www.pojo.com/wp-content/uploads/2018/09/all-out-attack-transformers.jpg" TargetMode="External"/><Relationship Id="rId19" Type="http://schemas.openxmlformats.org/officeDocument/2006/relationships/hyperlink" Target="https://www.pojo.com/wp-content/uploads/2018/09/data-bank-transformers-tcg.jpg" TargetMode="External"/><Relationship Id="rId4" Type="http://schemas.openxmlformats.org/officeDocument/2006/relationships/hyperlink" Target="https://www.pojo.com/wp-content/uploads/2018/09/armored-plating-transformers-tcg.jpg" TargetMode="External"/><Relationship Id="rId9" Type="http://schemas.openxmlformats.org/officeDocument/2006/relationships/hyperlink" Target="https://www.pojo.com/wp-content/uploads/2018/08/Bombing-Run.jpg" TargetMode="External"/><Relationship Id="rId14" Type="http://schemas.openxmlformats.org/officeDocument/2006/relationships/hyperlink" Target="https://www.pojo.com/wp-content/uploads/2018/10/Combat-Training-Transformers.jpg" TargetMode="External"/><Relationship Id="rId22" Type="http://schemas.openxmlformats.org/officeDocument/2006/relationships/hyperlink" Target="https://www.pojo.com/wp-content/uploads/2018/10/dino-chomp-transformers.jpg" TargetMode="External"/><Relationship Id="rId27" Type="http://schemas.openxmlformats.org/officeDocument/2006/relationships/hyperlink" Target="https://www.pojo.com/wp-content/uploads/2018/10/Emergency-Maintenance.jpg" TargetMode="External"/><Relationship Id="rId30" Type="http://schemas.openxmlformats.org/officeDocument/2006/relationships/hyperlink" Target="https://www.pojo.com/wp-content/uploads/2018/10/Flamerthrower-Transformers.jpg" TargetMode="External"/><Relationship Id="rId35" Type="http://schemas.openxmlformats.org/officeDocument/2006/relationships/hyperlink" Target="https://www.pojo.com/wp-content/uploads/2018/10/Heroism.jpg" TargetMode="External"/><Relationship Id="rId43" Type="http://schemas.openxmlformats.org/officeDocument/2006/relationships/hyperlink" Target="https://www.pojo.com/wp-content/uploads/2018/08/c043-Leap-into-Battle.jpg" TargetMode="External"/><Relationship Id="rId48" Type="http://schemas.openxmlformats.org/officeDocument/2006/relationships/hyperlink" Target="https://www.pojo.com/wp-content/uploads/2018/10/New-Designs.jpg" TargetMode="External"/><Relationship Id="rId56" Type="http://schemas.openxmlformats.org/officeDocument/2006/relationships/hyperlink" Target="https://www.pojo.com/wp-content/uploads/2018/10/Primary-Laser-Transformers.jpg" TargetMode="External"/><Relationship Id="rId64" Type="http://schemas.openxmlformats.org/officeDocument/2006/relationships/hyperlink" Target="https://www.pojo.com/wp-content/uploads/2018/10/Salvage-for-Parts-tranformers-tcg.jpg" TargetMode="External"/><Relationship Id="rId69" Type="http://schemas.openxmlformats.org/officeDocument/2006/relationships/hyperlink" Target="https://www.pojo.com/wp-content/uploads/2018/09/static-laser-of-ironhide-transformers-tcg.jpg" TargetMode="External"/><Relationship Id="rId77" Type="http://schemas.openxmlformats.org/officeDocument/2006/relationships/hyperlink" Target="https://www.pojo.com/wp-content/uploads/2018/10/The-Bigger-They-Are-Transformers.jpg" TargetMode="External"/><Relationship Id="rId8" Type="http://schemas.openxmlformats.org/officeDocument/2006/relationships/hyperlink" Target="https://www.pojo.com/wp-content/uploads/2018/09/body-armor-transformers-tcg-1.jpg" TargetMode="External"/><Relationship Id="rId51" Type="http://schemas.openxmlformats.org/officeDocument/2006/relationships/hyperlink" Target="https://www.pojo.com/wp-content/uploads/2018/08/peace-through-tyranny.jpg" TargetMode="External"/><Relationship Id="rId72" Type="http://schemas.openxmlformats.org/officeDocument/2006/relationships/hyperlink" Target="https://www.pojo.com/wp-content/uploads/2018/10/Swap-Missions-transformers.jpg" TargetMode="External"/><Relationship Id="rId80" Type="http://schemas.openxmlformats.org/officeDocument/2006/relationships/hyperlink" Target="https://www.pojo.com/wp-content/uploads/2018/08/turbo-boosters.jpg" TargetMode="External"/><Relationship Id="rId85" Type="http://schemas.openxmlformats.org/officeDocument/2006/relationships/drawing" Target="../drawings/drawing1.xml"/><Relationship Id="rId3" Type="http://schemas.openxmlformats.org/officeDocument/2006/relationships/hyperlink" Target="https://www.pojo.com/wp-content/uploads/2018/10/armored-hovercraft.jpg" TargetMode="External"/><Relationship Id="rId12" Type="http://schemas.openxmlformats.org/officeDocument/2006/relationships/hyperlink" Target="https://www.pojo.com/wp-content/uploads/2018/10/Cargo-Trailer-Transformers.jpg" TargetMode="External"/><Relationship Id="rId17" Type="http://schemas.openxmlformats.org/officeDocument/2006/relationships/hyperlink" Target="https://www.pojo.com/wp-content/uploads/2018/09/crushing-treads-transformers-tcg.jpg" TargetMode="External"/><Relationship Id="rId25" Type="http://schemas.openxmlformats.org/officeDocument/2006/relationships/hyperlink" Target="https://www.pojo.com/wp-content/uploads/2018/10/Disruptive-Entrance-transformers.jpg" TargetMode="External"/><Relationship Id="rId33" Type="http://schemas.openxmlformats.org/officeDocument/2006/relationships/hyperlink" Target="https://www.pojo.com/wp-content/uploads/2018/08/grenade-launcher-transformers.jpg" TargetMode="External"/><Relationship Id="rId38" Type="http://schemas.openxmlformats.org/officeDocument/2006/relationships/hyperlink" Target="https://www.pojo.com/wp-content/uploads/2018/10/Improvised-Shield.jpg" TargetMode="External"/><Relationship Id="rId46" Type="http://schemas.openxmlformats.org/officeDocument/2006/relationships/hyperlink" Target="https://www.pojo.com/wp-content/uploads/2018/10/Multi-Mission-Gear.jpg" TargetMode="External"/><Relationship Id="rId59" Type="http://schemas.openxmlformats.org/officeDocument/2006/relationships/hyperlink" Target="https://www.pojo.com/wp-content/uploads/2018/10/Rapid-Conversion-Transformers.jpg" TargetMode="External"/><Relationship Id="rId67" Type="http://schemas.openxmlformats.org/officeDocument/2006/relationships/hyperlink" Target="https://www.pojo.com/wp-content/uploads/2018/10/Shock-Absorbersn-transformers.jpg" TargetMode="External"/><Relationship Id="rId20" Type="http://schemas.openxmlformats.org/officeDocument/2006/relationships/hyperlink" Target="https://www.pojo.com/wp-content/uploads/2018/09/data-pad-transformers-tcg.jpg" TargetMode="External"/><Relationship Id="rId41" Type="http://schemas.openxmlformats.org/officeDocument/2006/relationships/hyperlink" Target="https://www.pojo.com/wp-content/uploads/2018/10/Ion-Blaster-of-Optimus-Prime.jpg" TargetMode="External"/><Relationship Id="rId54" Type="http://schemas.openxmlformats.org/officeDocument/2006/relationships/hyperlink" Target="https://www.pojo.com/wp-content/uploads/2018/10/plasma-burst-transformers.jpg" TargetMode="External"/><Relationship Id="rId62" Type="http://schemas.openxmlformats.org/officeDocument/2006/relationships/hyperlink" Target="https://www.pojo.com/wp-content/uploads/2018/10/Repair-Bay-Transformers.jpg" TargetMode="External"/><Relationship Id="rId70" Type="http://schemas.openxmlformats.org/officeDocument/2006/relationships/hyperlink" Target="https://www.pojo.com/wp-content/uploads/2018/10/Strafing-Run-transformers.jpg" TargetMode="External"/><Relationship Id="rId75" Type="http://schemas.openxmlformats.org/officeDocument/2006/relationships/hyperlink" Target="https://www.pojo.com/wp-content/uploads/2018/10/System-Reboot-Transformers.jpg" TargetMode="External"/><Relationship Id="rId83" Type="http://schemas.openxmlformats.org/officeDocument/2006/relationships/hyperlink" Target="https://www.pojo.com/wp-content/uploads/2018/10/tandem-targeting-system-1.jpg" TargetMode="External"/><Relationship Id="rId88" Type="http://schemas.openxmlformats.org/officeDocument/2006/relationships/image" Target="../media/image1.emf"/><Relationship Id="rId1" Type="http://schemas.openxmlformats.org/officeDocument/2006/relationships/hyperlink" Target="https://www.pojo.com/wp-content/uploads/2018/08/aerial-recon-transformers.jpg" TargetMode="External"/><Relationship Id="rId6" Type="http://schemas.openxmlformats.org/officeDocument/2006/relationships/hyperlink" Target="https://www.pojo.com/wp-content/uploads/2018/10/Battle-Ready.jpg" TargetMode="External"/><Relationship Id="rId15" Type="http://schemas.openxmlformats.org/officeDocument/2006/relationships/hyperlink" Target="https://www.pojo.com/wp-content/uploads/2018/10/Computer-Sabotage-Transformers-TCG.jpg" TargetMode="External"/><Relationship Id="rId23" Type="http://schemas.openxmlformats.org/officeDocument/2006/relationships/hyperlink" Target="https://www.pojo.com/wp-content/uploads/2018/10/disarm-transformers.jpg" TargetMode="External"/><Relationship Id="rId28" Type="http://schemas.openxmlformats.org/officeDocument/2006/relationships/hyperlink" Target="https://www.pojo.com/wp-content/uploads/2018/10/Energon-Axe.jpg" TargetMode="External"/><Relationship Id="rId36" Type="http://schemas.openxmlformats.org/officeDocument/2006/relationships/hyperlink" Target="https://www.pojo.com/wp-content/uploads/2018/08/Hunker-Down-Transformers-TCG.jpg" TargetMode="External"/><Relationship Id="rId49" Type="http://schemas.openxmlformats.org/officeDocument/2006/relationships/hyperlink" Target="https://www.pojo.com/wp-content/uploads/2018/08/Null-Ray-of-Starscream.jpg" TargetMode="External"/><Relationship Id="rId57" Type="http://schemas.openxmlformats.org/officeDocument/2006/relationships/hyperlink" Target="https://www.pojo.com/wp-content/uploads/2018/10/Ramming-Speed-Transformers.jpg" TargetMode="External"/><Relationship Id="rId10" Type="http://schemas.openxmlformats.org/officeDocument/2006/relationships/hyperlink" Target="https://www.pojo.com/wp-content/uploads/2018/10/Brainstorm.jpg" TargetMode="External"/><Relationship Id="rId31" Type="http://schemas.openxmlformats.org/officeDocument/2006/relationships/hyperlink" Target="https://www.pojo.com/wp-content/uploads/2018/10/Force-field-Transformers.jpg" TargetMode="External"/><Relationship Id="rId44" Type="http://schemas.openxmlformats.org/officeDocument/2006/relationships/hyperlink" Target="https://www.pojo.com/wp-content/uploads/2018/08/matrix-of-leadership.jpg" TargetMode="External"/><Relationship Id="rId52" Type="http://schemas.openxmlformats.org/officeDocument/2006/relationships/hyperlink" Target="https://www.pojo.com/wp-content/uploads/2018/10/photon-bomb-transformers.jpg" TargetMode="External"/><Relationship Id="rId60" Type="http://schemas.openxmlformats.org/officeDocument/2006/relationships/hyperlink" Target="https://www.pojo.com/wp-content/uploads/2018/10/Ready-For-Action-Transformers.jpg" TargetMode="External"/><Relationship Id="rId65" Type="http://schemas.openxmlformats.org/officeDocument/2006/relationships/hyperlink" Target="https://www.pojo.com/wp-content/uploads/2018/09/scrapper-gauntlets-1.jpg" TargetMode="External"/><Relationship Id="rId73" Type="http://schemas.openxmlformats.org/officeDocument/2006/relationships/hyperlink" Target="https://www.pojo.com/wp-content/uploads/2018/10/Swap-Parts-Transformers-TCG.jpg" TargetMode="External"/><Relationship Id="rId78" Type="http://schemas.openxmlformats.org/officeDocument/2006/relationships/hyperlink" Target="https://www.pojo.com/wp-content/uploads/2018/10/Thermal-Weaponry-Transformers.jpg" TargetMode="External"/><Relationship Id="rId81" Type="http://schemas.openxmlformats.org/officeDocument/2006/relationships/hyperlink" Target="https://www.pojo.com/wp-content/uploads/2018/09/zap-transformers-tcg-1.jpg" TargetMode="External"/><Relationship Id="rId86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7"/>
  <sheetViews>
    <sheetView tabSelected="1" topLeftCell="A13" workbookViewId="0">
      <selection activeCell="H42" sqref="H42:H47"/>
    </sheetView>
  </sheetViews>
  <sheetFormatPr defaultRowHeight="15" x14ac:dyDescent="0.25"/>
  <cols>
    <col min="1" max="1" width="17.42578125" customWidth="1"/>
    <col min="2" max="2" width="21.7109375" bestFit="1" customWidth="1"/>
    <col min="5" max="6" width="21.7109375" customWidth="1"/>
    <col min="8" max="8" width="27.140625" customWidth="1"/>
    <col min="9" max="9" width="32" customWidth="1"/>
    <col min="15" max="15" width="52.425781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139</v>
      </c>
      <c r="O1" t="s">
        <v>140</v>
      </c>
    </row>
    <row r="2" spans="1:15" x14ac:dyDescent="0.25">
      <c r="A2" t="s">
        <v>4</v>
      </c>
      <c r="B2" t="s">
        <v>5</v>
      </c>
      <c r="C2" t="s">
        <v>6</v>
      </c>
      <c r="D2">
        <v>5</v>
      </c>
      <c r="E2" t="str">
        <f t="shared" ref="E2:F47" si="0">TRIM(SUBSTITUTE(B2, CHAR(160), " "))</f>
        <v>Arcee</v>
      </c>
      <c r="F2" t="str">
        <f t="shared" si="0"/>
        <v>Skilled Fighter</v>
      </c>
      <c r="G2" t="str">
        <f>RIGHT(A2,LEN(A2)-FIND(" ",A2))</f>
        <v>01/T40</v>
      </c>
      <c r="H2" t="str">
        <f>CONCATENATE(E2,", ",F2)</f>
        <v>Arcee, Skilled Fighter</v>
      </c>
      <c r="I2" t="str">
        <f t="shared" ref="I2:I4" si="1">CONCATENATE("name = '",H2,"', ")</f>
        <v xml:space="preserve">name = 'Arcee, Skilled Fighter', </v>
      </c>
      <c r="J2" t="str">
        <f>CONCATENATE("cost = '",D2,"', ")</f>
        <v xml:space="preserve">cost = '5', </v>
      </c>
      <c r="K2" t="s">
        <v>138</v>
      </c>
      <c r="L2" t="str">
        <f>CONCATENATE("rarity = '",(LEFT(A2,FIND(" ",A2)-1)),"', ")</f>
        <v xml:space="preserve">rarity = 'RT', </v>
      </c>
      <c r="M2" t="str">
        <f>CONCATENATE("number = '",(LEFT(G2,FIND("/",G2)-1)), "', ")</f>
        <v xml:space="preserve">number = '01', </v>
      </c>
      <c r="N2" t="str">
        <f>CONCATENATE("set = '",(RIGHT(G2,LEN(G2)-FIND("/",G2))),"' ")</f>
        <v xml:space="preserve">set = 'T40' </v>
      </c>
      <c r="O2" t="str">
        <f>CONCATENATE("  {  ",I2, J2, K2, L2, M2, N2, " },")</f>
        <v xml:space="preserve">  {  name = 'Arcee, Skilled Fighter', cost = '5', type = 'Character', rarity = 'RT', number = '01', set = 'T40'  },</v>
      </c>
    </row>
    <row r="3" spans="1:15" x14ac:dyDescent="0.25">
      <c r="A3" t="s">
        <v>7</v>
      </c>
      <c r="B3" t="s">
        <v>8</v>
      </c>
      <c r="C3" t="s">
        <v>9</v>
      </c>
      <c r="D3">
        <v>11</v>
      </c>
      <c r="E3" t="str">
        <f t="shared" si="0"/>
        <v>Autobot Cosmos</v>
      </c>
      <c r="F3" t="str">
        <f t="shared" si="0"/>
        <v>Recon &amp; Communication</v>
      </c>
      <c r="G3" t="str">
        <f t="shared" ref="G3:G47" si="2">RIGHT(A3,LEN(A3)-FIND(" ",A3))</f>
        <v>02/T40</v>
      </c>
      <c r="H3" t="str">
        <f t="shared" ref="H3:H47" si="3">CONCATENATE(E3,", ",F3)</f>
        <v>Autobot Cosmos, Recon &amp; Communication</v>
      </c>
      <c r="I3" t="str">
        <f t="shared" si="1"/>
        <v xml:space="preserve">name = 'Autobot Cosmos, Recon &amp; Communication', </v>
      </c>
      <c r="J3" t="str">
        <f t="shared" ref="J3:J47" si="4">CONCATENATE("cost = '",D3,"', ")</f>
        <v xml:space="preserve">cost = '11', </v>
      </c>
      <c r="K3" t="s">
        <v>138</v>
      </c>
      <c r="L3" t="str">
        <f t="shared" ref="L3:L47" si="5">CONCATENATE("rarity = '",(LEFT(A3,FIND(" ",A3)-1)),"', ")</f>
        <v xml:space="preserve">rarity = 'RT', </v>
      </c>
      <c r="M3" t="str">
        <f t="shared" ref="M3:M47" si="6">CONCATENATE("number = '",(LEFT(G3,FIND("/",G3)-1)), "', ")</f>
        <v xml:space="preserve">number = '02', </v>
      </c>
      <c r="N3" t="str">
        <f t="shared" ref="N3:N47" si="7">CONCATENATE("set = '",(RIGHT(G3,LEN(G3)-FIND("/",G3))),"' ")</f>
        <v xml:space="preserve">set = 'T40' </v>
      </c>
      <c r="O3" t="str">
        <f t="shared" ref="O3:O47" si="8">CONCATENATE("  {  ",I3, J3, K3, L3, M3, N3, " },")</f>
        <v xml:space="preserve">  {  name = 'Autobot Cosmos, Recon &amp; Communication', cost = '11', type = 'Character', rarity = 'RT', number = '02', set = 'T40'  },</v>
      </c>
    </row>
    <row r="4" spans="1:15" x14ac:dyDescent="0.25">
      <c r="A4" t="s">
        <v>10</v>
      </c>
      <c r="B4" t="s">
        <v>11</v>
      </c>
      <c r="C4" t="s">
        <v>12</v>
      </c>
      <c r="D4">
        <v>8</v>
      </c>
      <c r="E4" t="str">
        <f t="shared" si="0"/>
        <v>Autobot Hound</v>
      </c>
      <c r="F4" t="str">
        <f t="shared" si="0"/>
        <v>Long Range Scout</v>
      </c>
      <c r="G4" t="str">
        <f t="shared" si="2"/>
        <v>03/T40</v>
      </c>
      <c r="H4" t="str">
        <f t="shared" si="3"/>
        <v>Autobot Hound, Long Range Scout</v>
      </c>
      <c r="I4" t="str">
        <f t="shared" si="1"/>
        <v xml:space="preserve">name = 'Autobot Hound, Long Range Scout', </v>
      </c>
      <c r="J4" t="str">
        <f t="shared" si="4"/>
        <v xml:space="preserve">cost = '8', </v>
      </c>
      <c r="K4" t="s">
        <v>138</v>
      </c>
      <c r="L4" t="str">
        <f t="shared" si="5"/>
        <v xml:space="preserve">rarity = 'CT', </v>
      </c>
      <c r="M4" t="str">
        <f t="shared" si="6"/>
        <v xml:space="preserve">number = '03', </v>
      </c>
      <c r="N4" t="str">
        <f t="shared" si="7"/>
        <v xml:space="preserve">set = 'T40' </v>
      </c>
      <c r="O4" t="str">
        <f t="shared" si="8"/>
        <v xml:space="preserve">  {  name = 'Autobot Hound, Long Range Scout', cost = '8', type = 'Character', rarity = 'CT', number = '03', set = 'T40'  },</v>
      </c>
    </row>
    <row r="5" spans="1:15" x14ac:dyDescent="0.25">
      <c r="A5" t="s">
        <v>13</v>
      </c>
      <c r="B5" t="s">
        <v>14</v>
      </c>
      <c r="C5" t="s">
        <v>15</v>
      </c>
      <c r="D5">
        <v>6</v>
      </c>
      <c r="E5" t="str">
        <f t="shared" si="0"/>
        <v>Autobot Jazz</v>
      </c>
      <c r="F5" t="str">
        <f t="shared" si="0"/>
        <v>Special Ops</v>
      </c>
      <c r="G5" t="str">
        <f t="shared" si="2"/>
        <v>04/T40</v>
      </c>
      <c r="H5" t="str">
        <f t="shared" si="3"/>
        <v>Autobot Jazz, Special Ops</v>
      </c>
      <c r="I5" t="str">
        <f>CONCATENATE("name = '",H5,"', ")</f>
        <v xml:space="preserve">name = 'Autobot Jazz, Special Ops', </v>
      </c>
      <c r="J5" t="str">
        <f t="shared" si="4"/>
        <v xml:space="preserve">cost = '6', </v>
      </c>
      <c r="K5" t="s">
        <v>138</v>
      </c>
      <c r="L5" t="str">
        <f t="shared" si="5"/>
        <v xml:space="preserve">rarity = 'UT', </v>
      </c>
      <c r="M5" t="str">
        <f t="shared" si="6"/>
        <v xml:space="preserve">number = '04', </v>
      </c>
      <c r="N5" t="str">
        <f t="shared" si="7"/>
        <v xml:space="preserve">set = 'T40' </v>
      </c>
      <c r="O5" t="str">
        <f t="shared" si="8"/>
        <v xml:space="preserve">  {  name = 'Autobot Jazz, Special Ops', cost = '6', type = 'Character', rarity = 'UT', number = '04', set = 'T40'  },</v>
      </c>
    </row>
    <row r="6" spans="1:15" x14ac:dyDescent="0.25">
      <c r="A6" t="s">
        <v>16</v>
      </c>
      <c r="B6" t="s">
        <v>17</v>
      </c>
      <c r="C6" t="s">
        <v>18</v>
      </c>
      <c r="D6">
        <v>9</v>
      </c>
      <c r="E6" t="str">
        <f t="shared" si="0"/>
        <v>Autobot Mirage</v>
      </c>
      <c r="F6" t="str">
        <f t="shared" si="0"/>
        <v>Lone Wolf</v>
      </c>
      <c r="G6" t="str">
        <f t="shared" si="2"/>
        <v>05/T40</v>
      </c>
      <c r="H6" t="str">
        <f t="shared" si="3"/>
        <v>Autobot Mirage, Lone Wolf</v>
      </c>
      <c r="I6" t="str">
        <f t="shared" ref="I6:I47" si="9">CONCATENATE("name = '",H6,"', ")</f>
        <v xml:space="preserve">name = 'Autobot Mirage, Lone Wolf', </v>
      </c>
      <c r="J6" t="str">
        <f t="shared" si="4"/>
        <v xml:space="preserve">cost = '9', </v>
      </c>
      <c r="K6" t="s">
        <v>138</v>
      </c>
      <c r="L6" t="str">
        <f t="shared" si="5"/>
        <v xml:space="preserve">rarity = 'UT', </v>
      </c>
      <c r="M6" t="str">
        <f t="shared" si="6"/>
        <v xml:space="preserve">number = '05', </v>
      </c>
      <c r="N6" t="str">
        <f t="shared" si="7"/>
        <v xml:space="preserve">set = 'T40' </v>
      </c>
      <c r="O6" t="str">
        <f t="shared" si="8"/>
        <v xml:space="preserve">  {  name = 'Autobot Mirage, Lone Wolf', cost = '9', type = 'Character', rarity = 'UT', number = '05', set = 'T40'  },</v>
      </c>
    </row>
    <row r="7" spans="1:15" x14ac:dyDescent="0.25">
      <c r="A7" t="s">
        <v>19</v>
      </c>
      <c r="B7" t="s">
        <v>20</v>
      </c>
      <c r="C7" t="s">
        <v>21</v>
      </c>
      <c r="D7">
        <v>7</v>
      </c>
      <c r="E7" t="str">
        <f t="shared" si="0"/>
        <v>Barrage</v>
      </c>
      <c r="F7" t="str">
        <f t="shared" si="0"/>
        <v>Merciless Insecticon</v>
      </c>
      <c r="G7" t="str">
        <f t="shared" si="2"/>
        <v>06/T40</v>
      </c>
      <c r="H7" t="str">
        <f t="shared" si="3"/>
        <v>Barrage, Merciless Insecticon</v>
      </c>
      <c r="I7" t="str">
        <f t="shared" si="9"/>
        <v xml:space="preserve">name = 'Barrage, Merciless Insecticon', </v>
      </c>
      <c r="J7" t="str">
        <f t="shared" si="4"/>
        <v xml:space="preserve">cost = '7', </v>
      </c>
      <c r="K7" t="s">
        <v>138</v>
      </c>
      <c r="L7" t="str">
        <f t="shared" si="5"/>
        <v xml:space="preserve">rarity = 'CT', </v>
      </c>
      <c r="M7" t="str">
        <f t="shared" si="6"/>
        <v xml:space="preserve">number = '06', </v>
      </c>
      <c r="N7" t="str">
        <f t="shared" si="7"/>
        <v xml:space="preserve">set = 'T40' </v>
      </c>
      <c r="O7" t="str">
        <f t="shared" si="8"/>
        <v xml:space="preserve">  {  name = 'Barrage, Merciless Insecticon', cost = '7', type = 'Character', rarity = 'CT', number = '06', set = 'T40'  },</v>
      </c>
    </row>
    <row r="8" spans="1:15" x14ac:dyDescent="0.25">
      <c r="A8" t="s">
        <v>22</v>
      </c>
      <c r="B8" t="s">
        <v>23</v>
      </c>
      <c r="C8" t="s">
        <v>24</v>
      </c>
      <c r="D8">
        <v>8</v>
      </c>
      <c r="E8" t="str">
        <f t="shared" si="0"/>
        <v>Bombshell</v>
      </c>
      <c r="F8" t="str">
        <f t="shared" si="0"/>
        <v>Insecticon Mind-Controller</v>
      </c>
      <c r="G8" t="str">
        <f t="shared" si="2"/>
        <v>07/T40</v>
      </c>
      <c r="H8" t="str">
        <f t="shared" si="3"/>
        <v>Bombshell, Insecticon Mind-Controller</v>
      </c>
      <c r="I8" t="str">
        <f t="shared" si="9"/>
        <v xml:space="preserve">name = 'Bombshell, Insecticon Mind-Controller', </v>
      </c>
      <c r="J8" t="str">
        <f t="shared" si="4"/>
        <v xml:space="preserve">cost = '8', </v>
      </c>
      <c r="K8" t="s">
        <v>138</v>
      </c>
      <c r="L8" t="str">
        <f t="shared" si="5"/>
        <v xml:space="preserve">rarity = 'CT', </v>
      </c>
      <c r="M8" t="str">
        <f t="shared" si="6"/>
        <v xml:space="preserve">number = '07', </v>
      </c>
      <c r="N8" t="str">
        <f t="shared" si="7"/>
        <v xml:space="preserve">set = 'T40' </v>
      </c>
      <c r="O8" t="str">
        <f t="shared" si="8"/>
        <v xml:space="preserve">  {  name = 'Bombshell, Insecticon Mind-Controller', cost = '8', type = 'Character', rarity = 'CT', number = '07', set = 'T40'  },</v>
      </c>
    </row>
    <row r="9" spans="1:15" x14ac:dyDescent="0.25">
      <c r="A9" t="s">
        <v>25</v>
      </c>
      <c r="B9" t="s">
        <v>26</v>
      </c>
      <c r="C9" t="s">
        <v>27</v>
      </c>
      <c r="D9">
        <v>9</v>
      </c>
      <c r="E9" t="str">
        <f t="shared" si="0"/>
        <v>Bumblebee</v>
      </c>
      <c r="F9" t="str">
        <f t="shared" si="0"/>
        <v>Courageous Scout</v>
      </c>
      <c r="G9" t="str">
        <f t="shared" si="2"/>
        <v>08/T40</v>
      </c>
      <c r="H9" t="str">
        <f t="shared" si="3"/>
        <v>Bumblebee, Courageous Scout</v>
      </c>
      <c r="I9" t="str">
        <f t="shared" si="9"/>
        <v xml:space="preserve">name = 'Bumblebee, Courageous Scout', </v>
      </c>
      <c r="J9" t="str">
        <f t="shared" si="4"/>
        <v xml:space="preserve">cost = '9', </v>
      </c>
      <c r="K9" t="s">
        <v>138</v>
      </c>
      <c r="L9" t="str">
        <f t="shared" si="5"/>
        <v xml:space="preserve">rarity = 'CT', </v>
      </c>
      <c r="M9" t="str">
        <f t="shared" si="6"/>
        <v xml:space="preserve">number = '08', </v>
      </c>
      <c r="N9" t="str">
        <f t="shared" si="7"/>
        <v xml:space="preserve">set = 'T40' </v>
      </c>
      <c r="O9" t="str">
        <f t="shared" si="8"/>
        <v xml:space="preserve">  {  name = 'Bumblebee, Courageous Scout', cost = '9', type = 'Character', rarity = 'CT', number = '08', set = 'T40'  },</v>
      </c>
    </row>
    <row r="10" spans="1:15" x14ac:dyDescent="0.25">
      <c r="A10" t="s">
        <v>28</v>
      </c>
      <c r="B10" t="s">
        <v>29</v>
      </c>
      <c r="C10" t="s">
        <v>30</v>
      </c>
      <c r="D10">
        <v>10</v>
      </c>
      <c r="E10" t="str">
        <f t="shared" si="0"/>
        <v>Bumblebee</v>
      </c>
      <c r="F10" t="str">
        <f t="shared" si="0"/>
        <v>Legendary Warrior</v>
      </c>
      <c r="G10" t="str">
        <f t="shared" si="2"/>
        <v>09/T40</v>
      </c>
      <c r="H10" t="str">
        <f t="shared" si="3"/>
        <v>Bumblebee, Legendary Warrior</v>
      </c>
      <c r="I10" t="str">
        <f t="shared" si="9"/>
        <v xml:space="preserve">name = 'Bumblebee, Legendary Warrior', </v>
      </c>
      <c r="J10" t="str">
        <f t="shared" si="4"/>
        <v xml:space="preserve">cost = '10', </v>
      </c>
      <c r="K10" t="s">
        <v>138</v>
      </c>
      <c r="L10" t="str">
        <f t="shared" si="5"/>
        <v xml:space="preserve">rarity = 'SRT', </v>
      </c>
      <c r="M10" t="str">
        <f t="shared" si="6"/>
        <v xml:space="preserve">number = '09', </v>
      </c>
      <c r="N10" t="str">
        <f t="shared" si="7"/>
        <v xml:space="preserve">set = 'T40' </v>
      </c>
      <c r="O10" t="str">
        <f t="shared" si="8"/>
        <v xml:space="preserve">  {  name = 'Bumblebee, Legendary Warrior', cost = '10', type = 'Character', rarity = 'SRT', number = '09', set = 'T40'  },</v>
      </c>
    </row>
    <row r="11" spans="1:15" x14ac:dyDescent="0.25">
      <c r="A11" t="s">
        <v>31</v>
      </c>
      <c r="B11" t="s">
        <v>32</v>
      </c>
      <c r="C11" t="s">
        <v>33</v>
      </c>
      <c r="D11">
        <v>6</v>
      </c>
      <c r="E11" t="str">
        <f t="shared" si="0"/>
        <v>Chop Shop</v>
      </c>
      <c r="F11" t="str">
        <f t="shared" si="0"/>
        <v>Sneaky Insecticon</v>
      </c>
      <c r="G11" t="str">
        <f t="shared" si="2"/>
        <v>10/T40</v>
      </c>
      <c r="H11" t="str">
        <f t="shared" si="3"/>
        <v>Chop Shop, Sneaky Insecticon</v>
      </c>
      <c r="I11" t="str">
        <f t="shared" si="9"/>
        <v xml:space="preserve">name = 'Chop Shop, Sneaky Insecticon', </v>
      </c>
      <c r="J11" t="str">
        <f t="shared" si="4"/>
        <v xml:space="preserve">cost = '6', </v>
      </c>
      <c r="K11" t="s">
        <v>138</v>
      </c>
      <c r="L11" t="str">
        <f t="shared" si="5"/>
        <v xml:space="preserve">rarity = 'UT', </v>
      </c>
      <c r="M11" t="str">
        <f t="shared" si="6"/>
        <v xml:space="preserve">number = '10', </v>
      </c>
      <c r="N11" t="str">
        <f t="shared" si="7"/>
        <v xml:space="preserve">set = 'T40' </v>
      </c>
      <c r="O11" t="str">
        <f t="shared" si="8"/>
        <v xml:space="preserve">  {  name = 'Chop Shop, Sneaky Insecticon', cost = '6', type = 'Character', rarity = 'UT', number = '10', set = 'T40'  },</v>
      </c>
    </row>
    <row r="12" spans="1:15" x14ac:dyDescent="0.25">
      <c r="A12" t="s">
        <v>34</v>
      </c>
      <c r="B12" t="s">
        <v>35</v>
      </c>
      <c r="C12" t="s">
        <v>15</v>
      </c>
      <c r="D12">
        <v>8</v>
      </c>
      <c r="E12" t="str">
        <f t="shared" si="0"/>
        <v>Chromia</v>
      </c>
      <c r="F12" t="str">
        <f t="shared" si="0"/>
        <v>Special Ops</v>
      </c>
      <c r="G12" t="str">
        <f t="shared" si="2"/>
        <v>11/T40</v>
      </c>
      <c r="H12" t="str">
        <f t="shared" si="3"/>
        <v>Chromia, Special Ops</v>
      </c>
      <c r="I12" t="str">
        <f t="shared" si="9"/>
        <v xml:space="preserve">name = 'Chromia, Special Ops', </v>
      </c>
      <c r="J12" t="str">
        <f t="shared" si="4"/>
        <v xml:space="preserve">cost = '8', </v>
      </c>
      <c r="K12" t="s">
        <v>138</v>
      </c>
      <c r="L12" t="str">
        <f t="shared" si="5"/>
        <v xml:space="preserve">rarity = 'RT', </v>
      </c>
      <c r="M12" t="str">
        <f t="shared" si="6"/>
        <v xml:space="preserve">number = '11', </v>
      </c>
      <c r="N12" t="str">
        <f t="shared" si="7"/>
        <v xml:space="preserve">set = 'T40' </v>
      </c>
      <c r="O12" t="str">
        <f t="shared" si="8"/>
        <v xml:space="preserve">  {  name = 'Chromia, Special Ops', cost = '8', type = 'Character', rarity = 'RT', number = '11', set = 'T40'  },</v>
      </c>
    </row>
    <row r="13" spans="1:15" x14ac:dyDescent="0.25">
      <c r="A13" t="s">
        <v>36</v>
      </c>
      <c r="B13" t="s">
        <v>37</v>
      </c>
      <c r="C13" t="s">
        <v>38</v>
      </c>
      <c r="D13">
        <v>9</v>
      </c>
      <c r="E13" t="str">
        <f t="shared" si="0"/>
        <v>Darkmount</v>
      </c>
      <c r="F13" t="str">
        <f t="shared" si="0"/>
        <v>Cruel Overlord</v>
      </c>
      <c r="G13" t="str">
        <f t="shared" si="2"/>
        <v>12/T40</v>
      </c>
      <c r="H13" t="str">
        <f t="shared" si="3"/>
        <v>Darkmount, Cruel Overlord</v>
      </c>
      <c r="I13" t="str">
        <f t="shared" si="9"/>
        <v xml:space="preserve">name = 'Darkmount, Cruel Overlord', </v>
      </c>
      <c r="J13" t="str">
        <f t="shared" si="4"/>
        <v xml:space="preserve">cost = '9', </v>
      </c>
      <c r="K13" t="s">
        <v>138</v>
      </c>
      <c r="L13" t="str">
        <f t="shared" si="5"/>
        <v xml:space="preserve">rarity = 'RT', </v>
      </c>
      <c r="M13" t="str">
        <f t="shared" si="6"/>
        <v xml:space="preserve">number = '12', </v>
      </c>
      <c r="N13" t="str">
        <f t="shared" si="7"/>
        <v xml:space="preserve">set = 'T40' </v>
      </c>
      <c r="O13" t="str">
        <f t="shared" si="8"/>
        <v xml:space="preserve">  {  name = 'Darkmount, Cruel Overlord', cost = '9', type = 'Character', rarity = 'RT', number = '12', set = 'T40'  },</v>
      </c>
    </row>
    <row r="14" spans="1:15" x14ac:dyDescent="0.25">
      <c r="A14" t="s">
        <v>39</v>
      </c>
      <c r="B14" t="s">
        <v>40</v>
      </c>
      <c r="C14" t="s">
        <v>41</v>
      </c>
      <c r="D14">
        <v>8</v>
      </c>
      <c r="E14" t="str">
        <f t="shared" si="0"/>
        <v>Deadlock</v>
      </c>
      <c r="F14" t="str">
        <f t="shared" si="0"/>
        <v>Bounty Hunter</v>
      </c>
      <c r="G14" t="str">
        <f t="shared" si="2"/>
        <v>13/T40</v>
      </c>
      <c r="H14" t="str">
        <f t="shared" si="3"/>
        <v>Deadlock, Bounty Hunter</v>
      </c>
      <c r="I14" t="str">
        <f t="shared" si="9"/>
        <v xml:space="preserve">name = 'Deadlock, Bounty Hunter', </v>
      </c>
      <c r="J14" t="str">
        <f t="shared" si="4"/>
        <v xml:space="preserve">cost = '8', </v>
      </c>
      <c r="K14" t="s">
        <v>138</v>
      </c>
      <c r="L14" t="str">
        <f t="shared" si="5"/>
        <v xml:space="preserve">rarity = 'UT', </v>
      </c>
      <c r="M14" t="str">
        <f t="shared" si="6"/>
        <v xml:space="preserve">number = '13', </v>
      </c>
      <c r="N14" t="str">
        <f t="shared" si="7"/>
        <v xml:space="preserve">set = 'T40' </v>
      </c>
      <c r="O14" t="str">
        <f t="shared" si="8"/>
        <v xml:space="preserve">  {  name = 'Deadlock, Bounty Hunter', cost = '8', type = 'Character', rarity = 'UT', number = '13', set = 'T40'  },</v>
      </c>
    </row>
    <row r="15" spans="1:15" x14ac:dyDescent="0.25">
      <c r="A15" t="s">
        <v>42</v>
      </c>
      <c r="B15" t="s">
        <v>43</v>
      </c>
      <c r="C15" t="s">
        <v>44</v>
      </c>
      <c r="D15">
        <v>11</v>
      </c>
      <c r="E15" t="str">
        <f t="shared" si="0"/>
        <v>Decepticon Shockwave</v>
      </c>
      <c r="F15" t="str">
        <f t="shared" si="0"/>
        <v>Cybertron Commander</v>
      </c>
      <c r="G15" t="str">
        <f t="shared" si="2"/>
        <v>14/T40</v>
      </c>
      <c r="H15" t="str">
        <f t="shared" si="3"/>
        <v>Decepticon Shockwave, Cybertron Commander</v>
      </c>
      <c r="I15" t="str">
        <f t="shared" si="9"/>
        <v xml:space="preserve">name = 'Decepticon Shockwave, Cybertron Commander', </v>
      </c>
      <c r="J15" t="str">
        <f t="shared" si="4"/>
        <v xml:space="preserve">cost = '11', </v>
      </c>
      <c r="K15" t="s">
        <v>138</v>
      </c>
      <c r="L15" t="str">
        <f t="shared" si="5"/>
        <v xml:space="preserve">rarity = 'RT', </v>
      </c>
      <c r="M15" t="str">
        <f t="shared" si="6"/>
        <v xml:space="preserve">number = '14', </v>
      </c>
      <c r="N15" t="str">
        <f t="shared" si="7"/>
        <v xml:space="preserve">set = 'T40' </v>
      </c>
      <c r="O15" t="str">
        <f t="shared" si="8"/>
        <v xml:space="preserve">  {  name = 'Decepticon Shockwave, Cybertron Commander', cost = '11', type = 'Character', rarity = 'RT', number = '14', set = 'T40'  },</v>
      </c>
    </row>
    <row r="16" spans="1:15" x14ac:dyDescent="0.25">
      <c r="A16" t="s">
        <v>45</v>
      </c>
      <c r="B16" t="s">
        <v>46</v>
      </c>
      <c r="C16" t="s">
        <v>47</v>
      </c>
      <c r="D16">
        <v>6</v>
      </c>
      <c r="E16" t="str">
        <f t="shared" si="0"/>
        <v>Demolisher</v>
      </c>
      <c r="F16" t="str">
        <f t="shared" si="0"/>
        <v>Devoted Decepticon</v>
      </c>
      <c r="G16" t="str">
        <f t="shared" si="2"/>
        <v>15/T40</v>
      </c>
      <c r="H16" t="str">
        <f t="shared" si="3"/>
        <v>Demolisher, Devoted Decepticon</v>
      </c>
      <c r="I16" t="str">
        <f t="shared" si="9"/>
        <v xml:space="preserve">name = 'Demolisher, Devoted Decepticon', </v>
      </c>
      <c r="J16" t="str">
        <f t="shared" si="4"/>
        <v xml:space="preserve">cost = '6', </v>
      </c>
      <c r="K16" t="s">
        <v>138</v>
      </c>
      <c r="L16" t="str">
        <f t="shared" si="5"/>
        <v xml:space="preserve">rarity = 'UT', </v>
      </c>
      <c r="M16" t="str">
        <f t="shared" si="6"/>
        <v xml:space="preserve">number = '15', </v>
      </c>
      <c r="N16" t="str">
        <f t="shared" si="7"/>
        <v xml:space="preserve">set = 'T40' </v>
      </c>
      <c r="O16" t="str">
        <f t="shared" si="8"/>
        <v xml:space="preserve">  {  name = 'Demolisher, Devoted Decepticon', cost = '6', type = 'Character', rarity = 'UT', number = '15', set = 'T40'  },</v>
      </c>
    </row>
    <row r="17" spans="1:15" x14ac:dyDescent="0.25">
      <c r="A17" t="s">
        <v>48</v>
      </c>
      <c r="B17" t="s">
        <v>49</v>
      </c>
      <c r="C17" t="s">
        <v>50</v>
      </c>
      <c r="D17">
        <v>8</v>
      </c>
      <c r="E17" t="str">
        <f t="shared" si="0"/>
        <v>Dinobot Sludge</v>
      </c>
      <c r="F17" t="str">
        <f t="shared" si="0"/>
        <v>Mighty Stomper</v>
      </c>
      <c r="G17" t="str">
        <f t="shared" si="2"/>
        <v>16/T40</v>
      </c>
      <c r="H17" t="str">
        <f t="shared" si="3"/>
        <v>Dinobot Sludge, Mighty Stomper</v>
      </c>
      <c r="I17" t="str">
        <f t="shared" si="9"/>
        <v xml:space="preserve">name = 'Dinobot Sludge, Mighty Stomper', </v>
      </c>
      <c r="J17" t="str">
        <f t="shared" si="4"/>
        <v xml:space="preserve">cost = '8', </v>
      </c>
      <c r="K17" t="s">
        <v>138</v>
      </c>
      <c r="L17" t="str">
        <f t="shared" si="5"/>
        <v xml:space="preserve">rarity = 'UT', </v>
      </c>
      <c r="M17" t="str">
        <f t="shared" si="6"/>
        <v xml:space="preserve">number = '16', </v>
      </c>
      <c r="N17" t="str">
        <f t="shared" si="7"/>
        <v xml:space="preserve">set = 'T40' </v>
      </c>
      <c r="O17" t="str">
        <f t="shared" si="8"/>
        <v xml:space="preserve">  {  name = 'Dinobot Sludge, Mighty Stomper', cost = '8', type = 'Character', rarity = 'UT', number = '16', set = 'T40'  },</v>
      </c>
    </row>
    <row r="18" spans="1:15" x14ac:dyDescent="0.25">
      <c r="A18" t="s">
        <v>51</v>
      </c>
      <c r="B18" t="s">
        <v>52</v>
      </c>
      <c r="C18" t="s">
        <v>53</v>
      </c>
      <c r="D18">
        <v>9</v>
      </c>
      <c r="E18" t="str">
        <f t="shared" si="0"/>
        <v>Dinobot Slug</v>
      </c>
      <c r="F18" t="str">
        <f t="shared" si="0"/>
        <v>Hot-Header Warrior</v>
      </c>
      <c r="G18" t="str">
        <f t="shared" si="2"/>
        <v>17/T40</v>
      </c>
      <c r="H18" t="str">
        <f t="shared" si="3"/>
        <v>Dinobot Slug, Hot-Header Warrior</v>
      </c>
      <c r="I18" t="str">
        <f t="shared" si="9"/>
        <v xml:space="preserve">name = 'Dinobot Slug, Hot-Header Warrior', </v>
      </c>
      <c r="J18" t="str">
        <f t="shared" si="4"/>
        <v xml:space="preserve">cost = '9', </v>
      </c>
      <c r="K18" t="s">
        <v>138</v>
      </c>
      <c r="L18" t="str">
        <f t="shared" si="5"/>
        <v xml:space="preserve">rarity = 'CT', </v>
      </c>
      <c r="M18" t="str">
        <f t="shared" si="6"/>
        <v xml:space="preserve">number = '17', </v>
      </c>
      <c r="N18" t="str">
        <f t="shared" si="7"/>
        <v xml:space="preserve">set = 'T40' </v>
      </c>
      <c r="O18" t="str">
        <f t="shared" si="8"/>
        <v xml:space="preserve">  {  name = 'Dinobot Slug, Hot-Header Warrior', cost = '9', type = 'Character', rarity = 'CT', number = '17', set = 'T40'  },</v>
      </c>
    </row>
    <row r="19" spans="1:15" x14ac:dyDescent="0.25">
      <c r="A19" t="s">
        <v>54</v>
      </c>
      <c r="B19" t="s">
        <v>55</v>
      </c>
      <c r="C19" t="s">
        <v>56</v>
      </c>
      <c r="D19">
        <v>7</v>
      </c>
      <c r="E19" t="str">
        <f t="shared" si="0"/>
        <v>Dinobot Snarl</v>
      </c>
      <c r="F19" t="str">
        <f t="shared" si="0"/>
        <v>Desert Warrior</v>
      </c>
      <c r="G19" t="str">
        <f t="shared" si="2"/>
        <v>18/T40</v>
      </c>
      <c r="H19" t="str">
        <f t="shared" si="3"/>
        <v>Dinobot Snarl, Desert Warrior</v>
      </c>
      <c r="I19" t="str">
        <f t="shared" si="9"/>
        <v xml:space="preserve">name = 'Dinobot Snarl, Desert Warrior', </v>
      </c>
      <c r="J19" t="str">
        <f t="shared" si="4"/>
        <v xml:space="preserve">cost = '7', </v>
      </c>
      <c r="K19" t="s">
        <v>138</v>
      </c>
      <c r="L19" t="str">
        <f t="shared" si="5"/>
        <v xml:space="preserve">rarity = 'UT', </v>
      </c>
      <c r="M19" t="str">
        <f t="shared" si="6"/>
        <v xml:space="preserve">number = '18', </v>
      </c>
      <c r="N19" t="str">
        <f t="shared" si="7"/>
        <v xml:space="preserve">set = 'T40' </v>
      </c>
      <c r="O19" t="str">
        <f t="shared" si="8"/>
        <v xml:space="preserve">  {  name = 'Dinobot Snarl, Desert Warrior', cost = '7', type = 'Character', rarity = 'UT', number = '18', set = 'T40'  },</v>
      </c>
    </row>
    <row r="20" spans="1:15" x14ac:dyDescent="0.25">
      <c r="A20" t="s">
        <v>57</v>
      </c>
      <c r="B20" t="s">
        <v>58</v>
      </c>
      <c r="C20" t="s">
        <v>59</v>
      </c>
      <c r="D20">
        <v>6</v>
      </c>
      <c r="E20" t="str">
        <f t="shared" si="0"/>
        <v>Dinobot Swoop</v>
      </c>
      <c r="F20" t="str">
        <f t="shared" si="0"/>
        <v>Fearsome Flyer</v>
      </c>
      <c r="G20" t="str">
        <f t="shared" si="2"/>
        <v>19/T40</v>
      </c>
      <c r="H20" t="str">
        <f t="shared" si="3"/>
        <v>Dinobot Swoop, Fearsome Flyer</v>
      </c>
      <c r="I20" t="str">
        <f t="shared" si="9"/>
        <v xml:space="preserve">name = 'Dinobot Swoop, Fearsome Flyer', </v>
      </c>
      <c r="J20" t="str">
        <f t="shared" si="4"/>
        <v xml:space="preserve">cost = '6', </v>
      </c>
      <c r="K20" t="s">
        <v>138</v>
      </c>
      <c r="L20" t="str">
        <f t="shared" si="5"/>
        <v xml:space="preserve">rarity = 'CT', </v>
      </c>
      <c r="M20" t="str">
        <f t="shared" si="6"/>
        <v xml:space="preserve">number = '19', </v>
      </c>
      <c r="N20" t="str">
        <f t="shared" si="7"/>
        <v xml:space="preserve">set = 'T40' </v>
      </c>
      <c r="O20" t="str">
        <f t="shared" si="8"/>
        <v xml:space="preserve">  {  name = 'Dinobot Swoop, Fearsome Flyer', cost = '6', type = 'Character', rarity = 'CT', number = '19', set = 'T40'  },</v>
      </c>
    </row>
    <row r="21" spans="1:15" x14ac:dyDescent="0.25">
      <c r="A21" t="s">
        <v>60</v>
      </c>
      <c r="B21" t="s">
        <v>61</v>
      </c>
      <c r="C21" t="s">
        <v>62</v>
      </c>
      <c r="D21">
        <v>5</v>
      </c>
      <c r="E21" t="str">
        <f t="shared" si="0"/>
        <v>Flamewar</v>
      </c>
      <c r="F21" t="str">
        <f t="shared" si="0"/>
        <v>Veteran Decepticon</v>
      </c>
      <c r="G21" t="str">
        <f t="shared" si="2"/>
        <v>20/T40</v>
      </c>
      <c r="H21" t="str">
        <f t="shared" si="3"/>
        <v>Flamewar, Veteran Decepticon</v>
      </c>
      <c r="I21" t="str">
        <f t="shared" si="9"/>
        <v xml:space="preserve">name = 'Flamewar, Veteran Decepticon', </v>
      </c>
      <c r="J21" t="str">
        <f t="shared" si="4"/>
        <v xml:space="preserve">cost = '5', </v>
      </c>
      <c r="K21" t="s">
        <v>138</v>
      </c>
      <c r="L21" t="str">
        <f t="shared" si="5"/>
        <v xml:space="preserve">rarity = 'CT', </v>
      </c>
      <c r="M21" t="str">
        <f t="shared" si="6"/>
        <v xml:space="preserve">number = '20', </v>
      </c>
      <c r="N21" t="str">
        <f t="shared" si="7"/>
        <v xml:space="preserve">set = 'T40' </v>
      </c>
      <c r="O21" t="str">
        <f t="shared" si="8"/>
        <v xml:space="preserve">  {  name = 'Flamewar, Veteran Decepticon', cost = '5', type = 'Character', rarity = 'CT', number = '20', set = 'T40'  },</v>
      </c>
    </row>
    <row r="22" spans="1:15" x14ac:dyDescent="0.25">
      <c r="A22" t="s">
        <v>63</v>
      </c>
      <c r="B22" t="s">
        <v>64</v>
      </c>
      <c r="C22" t="s">
        <v>65</v>
      </c>
      <c r="D22">
        <v>10</v>
      </c>
      <c r="E22" t="str">
        <f t="shared" si="0"/>
        <v>Grimlock</v>
      </c>
      <c r="F22" t="str">
        <f t="shared" si="0"/>
        <v>Dinobot Leader</v>
      </c>
      <c r="G22" t="str">
        <f t="shared" si="2"/>
        <v>21/T40</v>
      </c>
      <c r="H22" t="str">
        <f t="shared" si="3"/>
        <v>Grimlock, Dinobot Leader</v>
      </c>
      <c r="I22" t="str">
        <f t="shared" si="9"/>
        <v xml:space="preserve">name = 'Grimlock, Dinobot Leader', </v>
      </c>
      <c r="J22" t="str">
        <f t="shared" si="4"/>
        <v xml:space="preserve">cost = '10', </v>
      </c>
      <c r="K22" t="s">
        <v>138</v>
      </c>
      <c r="L22" t="str">
        <f t="shared" si="5"/>
        <v xml:space="preserve">rarity = 'RT', </v>
      </c>
      <c r="M22" t="str">
        <f t="shared" si="6"/>
        <v xml:space="preserve">number = '21', </v>
      </c>
      <c r="N22" t="str">
        <f t="shared" si="7"/>
        <v xml:space="preserve">set = 'T40' </v>
      </c>
      <c r="O22" t="str">
        <f t="shared" si="8"/>
        <v xml:space="preserve">  {  name = 'Grimlock, Dinobot Leader', cost = '10', type = 'Character', rarity = 'RT', number = '21', set = 'T40'  },</v>
      </c>
    </row>
    <row r="23" spans="1:15" x14ac:dyDescent="0.25">
      <c r="A23" t="s">
        <v>66</v>
      </c>
      <c r="B23" t="s">
        <v>67</v>
      </c>
      <c r="C23" t="s">
        <v>68</v>
      </c>
      <c r="D23">
        <v>12</v>
      </c>
      <c r="E23" t="str">
        <f t="shared" si="0"/>
        <v>Inferno</v>
      </c>
      <c r="F23" t="str">
        <f t="shared" si="0"/>
        <v>Fearless Firefighter</v>
      </c>
      <c r="G23" t="str">
        <f t="shared" si="2"/>
        <v>22/T40</v>
      </c>
      <c r="H23" t="str">
        <f t="shared" si="3"/>
        <v>Inferno, Fearless Firefighter</v>
      </c>
      <c r="I23" t="str">
        <f t="shared" si="9"/>
        <v xml:space="preserve">name = 'Inferno, Fearless Firefighter', </v>
      </c>
      <c r="J23" t="str">
        <f t="shared" si="4"/>
        <v xml:space="preserve">cost = '12', </v>
      </c>
      <c r="K23" t="s">
        <v>138</v>
      </c>
      <c r="L23" t="str">
        <f t="shared" si="5"/>
        <v xml:space="preserve">rarity = 'UT', </v>
      </c>
      <c r="M23" t="str">
        <f t="shared" si="6"/>
        <v xml:space="preserve">number = '22', </v>
      </c>
      <c r="N23" t="str">
        <f t="shared" si="7"/>
        <v xml:space="preserve">set = 'T40' </v>
      </c>
      <c r="O23" t="str">
        <f t="shared" si="8"/>
        <v xml:space="preserve">  {  name = 'Inferno, Fearless Firefighter', cost = '12', type = 'Character', rarity = 'UT', number = '22', set = 'T40'  },</v>
      </c>
    </row>
    <row r="24" spans="1:15" x14ac:dyDescent="0.25">
      <c r="A24" t="s">
        <v>69</v>
      </c>
      <c r="B24" t="s">
        <v>70</v>
      </c>
      <c r="C24" t="s">
        <v>71</v>
      </c>
      <c r="D24">
        <v>7</v>
      </c>
      <c r="E24" t="str">
        <f t="shared" si="0"/>
        <v>Insecticon Skrapnet</v>
      </c>
      <c r="F24" t="str">
        <f t="shared" si="0"/>
        <v>Insecticon Leader</v>
      </c>
      <c r="G24" t="str">
        <f t="shared" si="2"/>
        <v>23/T40</v>
      </c>
      <c r="H24" t="str">
        <f t="shared" si="3"/>
        <v>Insecticon Skrapnet, Insecticon Leader</v>
      </c>
      <c r="I24" t="str">
        <f t="shared" si="9"/>
        <v xml:space="preserve">name = 'Insecticon Skrapnet, Insecticon Leader', </v>
      </c>
      <c r="J24" t="str">
        <f t="shared" si="4"/>
        <v xml:space="preserve">cost = '7', </v>
      </c>
      <c r="K24" t="s">
        <v>138</v>
      </c>
      <c r="L24" t="str">
        <f t="shared" si="5"/>
        <v xml:space="preserve">rarity = 'RT', </v>
      </c>
      <c r="M24" t="str">
        <f t="shared" si="6"/>
        <v xml:space="preserve">number = '23', </v>
      </c>
      <c r="N24" t="str">
        <f t="shared" si="7"/>
        <v xml:space="preserve">set = 'T40' </v>
      </c>
      <c r="O24" t="str">
        <f t="shared" si="8"/>
        <v xml:space="preserve">  {  name = 'Insecticon Skrapnet, Insecticon Leader', cost = '7', type = 'Character', rarity = 'RT', number = '23', set = 'T40'  },</v>
      </c>
    </row>
    <row r="25" spans="1:15" x14ac:dyDescent="0.25">
      <c r="A25" t="s">
        <v>72</v>
      </c>
      <c r="B25" t="s">
        <v>73</v>
      </c>
      <c r="C25" t="s">
        <v>74</v>
      </c>
      <c r="D25">
        <v>10</v>
      </c>
      <c r="E25" t="str">
        <f t="shared" si="0"/>
        <v>Jetfire</v>
      </c>
      <c r="F25" t="str">
        <f t="shared" si="0"/>
        <v>Air Guardian</v>
      </c>
      <c r="G25" t="str">
        <f t="shared" si="2"/>
        <v>24/T40</v>
      </c>
      <c r="H25" t="str">
        <f t="shared" si="3"/>
        <v>Jetfire, Air Guardian</v>
      </c>
      <c r="I25" t="str">
        <f t="shared" si="9"/>
        <v xml:space="preserve">name = 'Jetfire, Air Guardian', </v>
      </c>
      <c r="J25" t="str">
        <f t="shared" si="4"/>
        <v xml:space="preserve">cost = '10', </v>
      </c>
      <c r="K25" t="s">
        <v>138</v>
      </c>
      <c r="L25" t="str">
        <f t="shared" si="5"/>
        <v xml:space="preserve">rarity = 'UT', </v>
      </c>
      <c r="M25" t="str">
        <f t="shared" si="6"/>
        <v xml:space="preserve">number = '24', </v>
      </c>
      <c r="N25" t="str">
        <f t="shared" si="7"/>
        <v xml:space="preserve">set = 'T40' </v>
      </c>
      <c r="O25" t="str">
        <f t="shared" si="8"/>
        <v xml:space="preserve">  {  name = 'Jetfire, Air Guardian', cost = '10', type = 'Character', rarity = 'UT', number = '24', set = 'T40'  },</v>
      </c>
    </row>
    <row r="26" spans="1:15" x14ac:dyDescent="0.25">
      <c r="A26" t="s">
        <v>75</v>
      </c>
      <c r="B26" t="s">
        <v>76</v>
      </c>
      <c r="C26" t="s">
        <v>77</v>
      </c>
      <c r="D26">
        <v>5</v>
      </c>
      <c r="E26" t="str">
        <f t="shared" si="0"/>
        <v>Kickback</v>
      </c>
      <c r="F26" t="str">
        <f t="shared" si="0"/>
        <v>Cunning Insecticon</v>
      </c>
      <c r="G26" t="str">
        <f t="shared" si="2"/>
        <v>25/T40</v>
      </c>
      <c r="H26" t="str">
        <f t="shared" si="3"/>
        <v>Kickback, Cunning Insecticon</v>
      </c>
      <c r="I26" t="str">
        <f t="shared" si="9"/>
        <v xml:space="preserve">name = 'Kickback, Cunning Insecticon', </v>
      </c>
      <c r="J26" t="str">
        <f t="shared" si="4"/>
        <v xml:space="preserve">cost = '5', </v>
      </c>
      <c r="K26" t="s">
        <v>138</v>
      </c>
      <c r="L26" t="str">
        <f t="shared" si="5"/>
        <v xml:space="preserve">rarity = 'UT', </v>
      </c>
      <c r="M26" t="str">
        <f t="shared" si="6"/>
        <v xml:space="preserve">number = '25', </v>
      </c>
      <c r="N26" t="str">
        <f t="shared" si="7"/>
        <v xml:space="preserve">set = 'T40' </v>
      </c>
      <c r="O26" t="str">
        <f t="shared" si="8"/>
        <v xml:space="preserve">  {  name = 'Kickback, Cunning Insecticon', cost = '5', type = 'Character', rarity = 'UT', number = '25', set = 'T40'  },</v>
      </c>
    </row>
    <row r="27" spans="1:15" x14ac:dyDescent="0.25">
      <c r="A27" t="s">
        <v>78</v>
      </c>
      <c r="B27" t="s">
        <v>79</v>
      </c>
      <c r="C27" t="s">
        <v>80</v>
      </c>
      <c r="D27">
        <v>10</v>
      </c>
      <c r="E27" t="str">
        <f t="shared" si="0"/>
        <v>Megatron</v>
      </c>
      <c r="F27" t="str">
        <f t="shared" si="0"/>
        <v>Decepticon Leader</v>
      </c>
      <c r="G27" t="str">
        <f t="shared" si="2"/>
        <v>26/T40</v>
      </c>
      <c r="H27" t="str">
        <f t="shared" si="3"/>
        <v>Megatron, Decepticon Leader</v>
      </c>
      <c r="I27" t="str">
        <f t="shared" si="9"/>
        <v xml:space="preserve">name = 'Megatron, Decepticon Leader', </v>
      </c>
      <c r="J27" t="str">
        <f t="shared" si="4"/>
        <v xml:space="preserve">cost = '10', </v>
      </c>
      <c r="K27" t="s">
        <v>138</v>
      </c>
      <c r="L27" t="str">
        <f t="shared" si="5"/>
        <v xml:space="preserve">rarity = 'CT', </v>
      </c>
      <c r="M27" t="str">
        <f t="shared" si="6"/>
        <v xml:space="preserve">number = '26', </v>
      </c>
      <c r="N27" t="str">
        <f t="shared" si="7"/>
        <v xml:space="preserve">set = 'T40' </v>
      </c>
      <c r="O27" t="str">
        <f t="shared" si="8"/>
        <v xml:space="preserve">  {  name = 'Megatron, Decepticon Leader', cost = '10', type = 'Character', rarity = 'CT', number = '26', set = 'T40'  },</v>
      </c>
    </row>
    <row r="28" spans="1:15" x14ac:dyDescent="0.25">
      <c r="A28" t="s">
        <v>81</v>
      </c>
      <c r="B28" t="s">
        <v>82</v>
      </c>
      <c r="C28" t="s">
        <v>83</v>
      </c>
      <c r="D28">
        <v>13</v>
      </c>
      <c r="E28" t="str">
        <f t="shared" si="0"/>
        <v>Megatron</v>
      </c>
      <c r="F28" t="str">
        <f t="shared" si="0"/>
        <v>Living Weapon</v>
      </c>
      <c r="G28" t="str">
        <f t="shared" si="2"/>
        <v>27/T40</v>
      </c>
      <c r="H28" t="str">
        <f t="shared" si="3"/>
        <v>Megatron, Living Weapon</v>
      </c>
      <c r="I28" t="str">
        <f t="shared" si="9"/>
        <v xml:space="preserve">name = 'Megatron, Living Weapon', </v>
      </c>
      <c r="J28" t="str">
        <f t="shared" si="4"/>
        <v xml:space="preserve">cost = '13', </v>
      </c>
      <c r="K28" t="s">
        <v>138</v>
      </c>
      <c r="L28" t="str">
        <f t="shared" si="5"/>
        <v xml:space="preserve">rarity = 'RT', </v>
      </c>
      <c r="M28" t="str">
        <f t="shared" si="6"/>
        <v xml:space="preserve">number = '27', </v>
      </c>
      <c r="N28" t="str">
        <f t="shared" si="7"/>
        <v xml:space="preserve">set = 'T40' </v>
      </c>
      <c r="O28" t="str">
        <f t="shared" si="8"/>
        <v xml:space="preserve">  {  name = 'Megatron, Living Weapon', cost = '13', type = 'Character', rarity = 'RT', number = '27', set = 'T40'  },</v>
      </c>
    </row>
    <row r="29" spans="1:15" x14ac:dyDescent="0.25">
      <c r="A29" t="s">
        <v>84</v>
      </c>
      <c r="B29" t="s">
        <v>85</v>
      </c>
      <c r="C29" t="s">
        <v>86</v>
      </c>
      <c r="D29">
        <v>12</v>
      </c>
      <c r="E29" t="str">
        <f t="shared" si="0"/>
        <v>Nemesis Prime</v>
      </c>
      <c r="F29" t="str">
        <f t="shared" si="0"/>
        <v>Dark Clone</v>
      </c>
      <c r="G29" t="str">
        <f t="shared" si="2"/>
        <v>28/T40</v>
      </c>
      <c r="H29" t="str">
        <f t="shared" si="3"/>
        <v>Nemesis Prime, Dark Clone</v>
      </c>
      <c r="I29" t="str">
        <f t="shared" si="9"/>
        <v xml:space="preserve">name = 'Nemesis Prime, Dark Clone', </v>
      </c>
      <c r="J29" t="str">
        <f t="shared" si="4"/>
        <v xml:space="preserve">cost = '12', </v>
      </c>
      <c r="K29" t="s">
        <v>138</v>
      </c>
      <c r="L29" t="str">
        <f t="shared" si="5"/>
        <v xml:space="preserve">rarity = 'SRT', </v>
      </c>
      <c r="M29" t="str">
        <f t="shared" si="6"/>
        <v xml:space="preserve">number = '28', </v>
      </c>
      <c r="N29" t="str">
        <f t="shared" si="7"/>
        <v xml:space="preserve">set = 'T40' </v>
      </c>
      <c r="O29" t="str">
        <f t="shared" si="8"/>
        <v xml:space="preserve">  {  name = 'Nemesis Prime, Dark Clone', cost = '12', type = 'Character', rarity = 'SRT', number = '28', set = 'T40'  },</v>
      </c>
    </row>
    <row r="30" spans="1:15" x14ac:dyDescent="0.25">
      <c r="A30" t="s">
        <v>87</v>
      </c>
      <c r="B30" t="s">
        <v>88</v>
      </c>
      <c r="C30" t="s">
        <v>89</v>
      </c>
      <c r="D30">
        <v>13</v>
      </c>
      <c r="E30" t="str">
        <f t="shared" si="0"/>
        <v>Optimus Prime</v>
      </c>
      <c r="F30" t="str">
        <f t="shared" si="0"/>
        <v>Battlefield Legend</v>
      </c>
      <c r="G30" t="str">
        <f t="shared" si="2"/>
        <v>29/T40</v>
      </c>
      <c r="H30" t="str">
        <f t="shared" si="3"/>
        <v>Optimus Prime, Battlefield Legend</v>
      </c>
      <c r="I30" t="str">
        <f t="shared" si="9"/>
        <v xml:space="preserve">name = 'Optimus Prime, Battlefield Legend', </v>
      </c>
      <c r="J30" t="str">
        <f t="shared" si="4"/>
        <v xml:space="preserve">cost = '13', </v>
      </c>
      <c r="K30" t="s">
        <v>138</v>
      </c>
      <c r="L30" t="str">
        <f t="shared" si="5"/>
        <v xml:space="preserve">rarity = 'RT', </v>
      </c>
      <c r="M30" t="str">
        <f t="shared" si="6"/>
        <v xml:space="preserve">number = '29', </v>
      </c>
      <c r="N30" t="str">
        <f t="shared" si="7"/>
        <v xml:space="preserve">set = 'T40' </v>
      </c>
      <c r="O30" t="str">
        <f t="shared" si="8"/>
        <v xml:space="preserve">  {  name = 'Optimus Prime, Battlefield Legend', cost = '13', type = 'Character', rarity = 'RT', number = '29', set = 'T40'  },</v>
      </c>
    </row>
    <row r="31" spans="1:15" x14ac:dyDescent="0.25">
      <c r="A31" t="s">
        <v>90</v>
      </c>
      <c r="B31" t="s">
        <v>88</v>
      </c>
      <c r="C31" t="s">
        <v>91</v>
      </c>
      <c r="D31">
        <v>12</v>
      </c>
      <c r="E31" t="str">
        <f t="shared" si="0"/>
        <v>Optimus Prime</v>
      </c>
      <c r="F31" t="str">
        <f t="shared" si="0"/>
        <v>Freedom Fighter</v>
      </c>
      <c r="G31" t="str">
        <f t="shared" si="2"/>
        <v>30/T40</v>
      </c>
      <c r="H31" t="str">
        <f t="shared" si="3"/>
        <v>Optimus Prime, Freedom Fighter</v>
      </c>
      <c r="I31" t="str">
        <f t="shared" si="9"/>
        <v xml:space="preserve">name = 'Optimus Prime, Freedom Fighter', </v>
      </c>
      <c r="J31" t="str">
        <f t="shared" si="4"/>
        <v xml:space="preserve">cost = '12', </v>
      </c>
      <c r="K31" t="s">
        <v>138</v>
      </c>
      <c r="L31" t="str">
        <f t="shared" si="5"/>
        <v xml:space="preserve">rarity = 'CT', </v>
      </c>
      <c r="M31" t="str">
        <f t="shared" si="6"/>
        <v xml:space="preserve">number = '30', </v>
      </c>
      <c r="N31" t="str">
        <f t="shared" si="7"/>
        <v xml:space="preserve">set = 'T40' </v>
      </c>
      <c r="O31" t="str">
        <f t="shared" si="8"/>
        <v xml:space="preserve">  {  name = 'Optimus Prime, Freedom Fighter', cost = '12', type = 'Character', rarity = 'CT', number = '30', set = 'T40'  },</v>
      </c>
    </row>
    <row r="32" spans="1:15" x14ac:dyDescent="0.25">
      <c r="A32" t="s">
        <v>92</v>
      </c>
      <c r="B32" t="s">
        <v>93</v>
      </c>
      <c r="C32" t="s">
        <v>94</v>
      </c>
      <c r="D32">
        <v>6</v>
      </c>
      <c r="E32" t="str">
        <f t="shared" si="0"/>
        <v>Prowl</v>
      </c>
      <c r="F32" t="str">
        <f t="shared" si="0"/>
        <v>Military Strategist</v>
      </c>
      <c r="G32" t="str">
        <f t="shared" si="2"/>
        <v>31/T40</v>
      </c>
      <c r="H32" t="str">
        <f t="shared" si="3"/>
        <v>Prowl, Military Strategist</v>
      </c>
      <c r="I32" t="str">
        <f t="shared" si="9"/>
        <v xml:space="preserve">name = 'Prowl, Military Strategist', </v>
      </c>
      <c r="J32" t="str">
        <f t="shared" si="4"/>
        <v xml:space="preserve">cost = '6', </v>
      </c>
      <c r="K32" t="s">
        <v>138</v>
      </c>
      <c r="L32" t="str">
        <f t="shared" si="5"/>
        <v xml:space="preserve">rarity = 'UT', </v>
      </c>
      <c r="M32" t="str">
        <f t="shared" si="6"/>
        <v xml:space="preserve">number = '31', </v>
      </c>
      <c r="N32" t="str">
        <f t="shared" si="7"/>
        <v xml:space="preserve">set = 'T40' </v>
      </c>
      <c r="O32" t="str">
        <f t="shared" si="8"/>
        <v xml:space="preserve">  {  name = 'Prowl, Military Strategist', cost = '6', type = 'Character', rarity = 'UT', number = '31', set = 'T40'  },</v>
      </c>
    </row>
    <row r="33" spans="1:15" x14ac:dyDescent="0.25">
      <c r="A33" t="s">
        <v>95</v>
      </c>
      <c r="B33" t="s">
        <v>96</v>
      </c>
      <c r="C33" t="s">
        <v>97</v>
      </c>
      <c r="D33">
        <v>10</v>
      </c>
      <c r="E33" t="str">
        <f t="shared" si="0"/>
        <v>Ramjet</v>
      </c>
      <c r="F33" t="str">
        <f t="shared" si="0"/>
        <v>Sky Smasher</v>
      </c>
      <c r="G33" t="str">
        <f t="shared" si="2"/>
        <v>32/T40</v>
      </c>
      <c r="H33" t="str">
        <f t="shared" si="3"/>
        <v>Ramjet, Sky Smasher</v>
      </c>
      <c r="I33" t="str">
        <f t="shared" si="9"/>
        <v xml:space="preserve">name = 'Ramjet, Sky Smasher', </v>
      </c>
      <c r="J33" t="str">
        <f t="shared" si="4"/>
        <v xml:space="preserve">cost = '10', </v>
      </c>
      <c r="K33" t="s">
        <v>138</v>
      </c>
      <c r="L33" t="str">
        <f t="shared" si="5"/>
        <v xml:space="preserve">rarity = 'CT', </v>
      </c>
      <c r="M33" t="str">
        <f t="shared" si="6"/>
        <v xml:space="preserve">number = '32', </v>
      </c>
      <c r="N33" t="str">
        <f t="shared" si="7"/>
        <v xml:space="preserve">set = 'T40' </v>
      </c>
      <c r="O33" t="str">
        <f t="shared" si="8"/>
        <v xml:space="preserve">  {  name = 'Ramjet, Sky Smasher', cost = '10', type = 'Character', rarity = 'CT', number = '32', set = 'T40'  },</v>
      </c>
    </row>
    <row r="34" spans="1:15" x14ac:dyDescent="0.25">
      <c r="A34" t="s">
        <v>98</v>
      </c>
      <c r="B34" t="s">
        <v>99</v>
      </c>
      <c r="C34" t="s">
        <v>100</v>
      </c>
      <c r="D34">
        <v>6</v>
      </c>
      <c r="E34" t="str">
        <f t="shared" si="0"/>
        <v>Ransack</v>
      </c>
      <c r="F34" t="str">
        <f t="shared" si="0"/>
        <v>Insecticon Commando</v>
      </c>
      <c r="G34" t="str">
        <f t="shared" si="2"/>
        <v>33/T40</v>
      </c>
      <c r="H34" t="str">
        <f t="shared" si="3"/>
        <v>Ransack, Insecticon Commando</v>
      </c>
      <c r="I34" t="str">
        <f t="shared" si="9"/>
        <v xml:space="preserve">name = 'Ransack, Insecticon Commando', </v>
      </c>
      <c r="J34" t="str">
        <f t="shared" si="4"/>
        <v xml:space="preserve">cost = '6', </v>
      </c>
      <c r="K34" t="s">
        <v>138</v>
      </c>
      <c r="L34" t="str">
        <f t="shared" si="5"/>
        <v xml:space="preserve">rarity = 'UT', </v>
      </c>
      <c r="M34" t="str">
        <f t="shared" si="6"/>
        <v xml:space="preserve">number = '33', </v>
      </c>
      <c r="N34" t="str">
        <f t="shared" si="7"/>
        <v xml:space="preserve">set = 'T40' </v>
      </c>
      <c r="O34" t="str">
        <f t="shared" si="8"/>
        <v xml:space="preserve">  {  name = 'Ransack, Insecticon Commando', cost = '6', type = 'Character', rarity = 'UT', number = '33', set = 'T40'  },</v>
      </c>
    </row>
    <row r="35" spans="1:15" x14ac:dyDescent="0.25">
      <c r="A35" t="s">
        <v>101</v>
      </c>
      <c r="B35" t="s">
        <v>102</v>
      </c>
      <c r="C35" t="s">
        <v>103</v>
      </c>
      <c r="D35">
        <v>7</v>
      </c>
      <c r="E35" t="str">
        <f t="shared" si="0"/>
        <v>Sergeant Kup</v>
      </c>
      <c r="F35" t="str">
        <f t="shared" si="0"/>
        <v>Veteran Sergeant</v>
      </c>
      <c r="G35" t="str">
        <f t="shared" si="2"/>
        <v>34/T40</v>
      </c>
      <c r="H35" t="str">
        <f t="shared" si="3"/>
        <v>Sergeant Kup, Veteran Sergeant</v>
      </c>
      <c r="I35" t="str">
        <f t="shared" si="9"/>
        <v xml:space="preserve">name = 'Sergeant Kup, Veteran Sergeant', </v>
      </c>
      <c r="J35" t="str">
        <f t="shared" si="4"/>
        <v xml:space="preserve">cost = '7', </v>
      </c>
      <c r="K35" t="s">
        <v>138</v>
      </c>
      <c r="L35" t="str">
        <f t="shared" si="5"/>
        <v xml:space="preserve">rarity = 'CT', </v>
      </c>
      <c r="M35" t="str">
        <f t="shared" si="6"/>
        <v xml:space="preserve">number = '34', </v>
      </c>
      <c r="N35" t="str">
        <f t="shared" si="7"/>
        <v xml:space="preserve">set = 'T40' </v>
      </c>
      <c r="O35" t="str">
        <f t="shared" si="8"/>
        <v xml:space="preserve">  {  name = 'Sergeant Kup, Veteran Sergeant', cost = '7', type = 'Character', rarity = 'CT', number = '34', set = 'T40'  },</v>
      </c>
    </row>
    <row r="36" spans="1:15" x14ac:dyDescent="0.25">
      <c r="A36" t="s">
        <v>104</v>
      </c>
      <c r="B36" t="s">
        <v>105</v>
      </c>
      <c r="C36" t="s">
        <v>106</v>
      </c>
      <c r="D36">
        <v>6</v>
      </c>
      <c r="E36" t="str">
        <f t="shared" si="0"/>
        <v>Skywarp</v>
      </c>
      <c r="F36" t="str">
        <f t="shared" si="0"/>
        <v>Sneaky Prankster</v>
      </c>
      <c r="G36" t="str">
        <f t="shared" si="2"/>
        <v>35/T40</v>
      </c>
      <c r="H36" t="str">
        <f t="shared" si="3"/>
        <v>Skywarp, Sneaky Prankster</v>
      </c>
      <c r="I36" t="str">
        <f t="shared" si="9"/>
        <v xml:space="preserve">name = 'Skywarp, Sneaky Prankster', </v>
      </c>
      <c r="J36" t="str">
        <f t="shared" si="4"/>
        <v xml:space="preserve">cost = '6', </v>
      </c>
      <c r="K36" t="s">
        <v>138</v>
      </c>
      <c r="L36" t="str">
        <f t="shared" si="5"/>
        <v xml:space="preserve">rarity = 'UT', </v>
      </c>
      <c r="M36" t="str">
        <f t="shared" si="6"/>
        <v xml:space="preserve">number = '35', </v>
      </c>
      <c r="N36" t="str">
        <f t="shared" si="7"/>
        <v xml:space="preserve">set = 'T40' </v>
      </c>
      <c r="O36" t="str">
        <f t="shared" si="8"/>
        <v xml:space="preserve">  {  name = 'Skywarp, Sneaky Prankster', cost = '6', type = 'Character', rarity = 'UT', number = '35', set = 'T40'  },</v>
      </c>
    </row>
    <row r="37" spans="1:15" x14ac:dyDescent="0.25">
      <c r="A37" t="s">
        <v>107</v>
      </c>
      <c r="B37" t="s">
        <v>108</v>
      </c>
      <c r="C37" t="s">
        <v>109</v>
      </c>
      <c r="D37">
        <v>11</v>
      </c>
      <c r="E37" t="str">
        <f t="shared" si="0"/>
        <v>Starscream</v>
      </c>
      <c r="F37" t="str">
        <f t="shared" si="0"/>
        <v>Air Commander</v>
      </c>
      <c r="G37" t="str">
        <f t="shared" si="2"/>
        <v>36/T40</v>
      </c>
      <c r="H37" t="str">
        <f t="shared" si="3"/>
        <v>Starscream, Air Commander</v>
      </c>
      <c r="I37" t="str">
        <f t="shared" si="9"/>
        <v xml:space="preserve">name = 'Starscream, Air Commander', </v>
      </c>
      <c r="J37" t="str">
        <f t="shared" si="4"/>
        <v xml:space="preserve">cost = '11', </v>
      </c>
      <c r="K37" t="s">
        <v>138</v>
      </c>
      <c r="L37" t="str">
        <f t="shared" si="5"/>
        <v xml:space="preserve">rarity = 'UT', </v>
      </c>
      <c r="M37" t="str">
        <f t="shared" si="6"/>
        <v xml:space="preserve">number = '36', </v>
      </c>
      <c r="N37" t="str">
        <f t="shared" si="7"/>
        <v xml:space="preserve">set = 'T40' </v>
      </c>
      <c r="O37" t="str">
        <f t="shared" si="8"/>
        <v xml:space="preserve">  {  name = 'Starscream, Air Commander', cost = '11', type = 'Character', rarity = 'UT', number = '36', set = 'T40'  },</v>
      </c>
    </row>
    <row r="38" spans="1:15" x14ac:dyDescent="0.25">
      <c r="A38" t="s">
        <v>110</v>
      </c>
      <c r="B38" t="s">
        <v>111</v>
      </c>
      <c r="C38" t="s">
        <v>112</v>
      </c>
      <c r="D38">
        <v>10</v>
      </c>
      <c r="E38" t="str">
        <f t="shared" si="0"/>
        <v>Starscream</v>
      </c>
      <c r="F38" t="str">
        <f t="shared" si="0"/>
        <v>Scheming Second-In-Command</v>
      </c>
      <c r="G38" t="str">
        <f t="shared" si="2"/>
        <v>37/T40</v>
      </c>
      <c r="H38" t="str">
        <f t="shared" si="3"/>
        <v>Starscream, Scheming Second-In-Command</v>
      </c>
      <c r="I38" t="str">
        <f t="shared" si="9"/>
        <v xml:space="preserve">name = 'Starscream, Scheming Second-In-Command', </v>
      </c>
      <c r="J38" t="str">
        <f t="shared" si="4"/>
        <v xml:space="preserve">cost = '10', </v>
      </c>
      <c r="K38" t="s">
        <v>138</v>
      </c>
      <c r="L38" t="str">
        <f t="shared" si="5"/>
        <v xml:space="preserve">rarity = 'CT', </v>
      </c>
      <c r="M38" t="str">
        <f t="shared" si="6"/>
        <v xml:space="preserve">number = '37', </v>
      </c>
      <c r="N38" t="str">
        <f t="shared" si="7"/>
        <v xml:space="preserve">set = 'T40' </v>
      </c>
      <c r="O38" t="str">
        <f t="shared" si="8"/>
        <v xml:space="preserve">  {  name = 'Starscream, Scheming Second-In-Command', cost = '10', type = 'Character', rarity = 'CT', number = '37', set = 'T40'  },</v>
      </c>
    </row>
    <row r="39" spans="1:15" x14ac:dyDescent="0.25">
      <c r="A39" t="s">
        <v>113</v>
      </c>
      <c r="B39" t="s">
        <v>114</v>
      </c>
      <c r="C39" t="s">
        <v>115</v>
      </c>
      <c r="D39">
        <v>11</v>
      </c>
      <c r="E39" t="str">
        <f t="shared" si="0"/>
        <v>Sunstorm</v>
      </c>
      <c r="F39" t="str">
        <f t="shared" si="0"/>
        <v>Fusion Flyer</v>
      </c>
      <c r="G39" t="str">
        <f t="shared" si="2"/>
        <v>38/T40</v>
      </c>
      <c r="H39" t="str">
        <f t="shared" si="3"/>
        <v>Sunstorm, Fusion Flyer</v>
      </c>
      <c r="I39" t="str">
        <f t="shared" si="9"/>
        <v xml:space="preserve">name = 'Sunstorm, Fusion Flyer', </v>
      </c>
      <c r="J39" t="str">
        <f t="shared" si="4"/>
        <v xml:space="preserve">cost = '11', </v>
      </c>
      <c r="K39" t="s">
        <v>138</v>
      </c>
      <c r="L39" t="str">
        <f t="shared" si="5"/>
        <v xml:space="preserve">rarity = 'RT', </v>
      </c>
      <c r="M39" t="str">
        <f t="shared" si="6"/>
        <v xml:space="preserve">number = '38', </v>
      </c>
      <c r="N39" t="str">
        <f t="shared" si="7"/>
        <v xml:space="preserve">set = 'T40' </v>
      </c>
      <c r="O39" t="str">
        <f t="shared" si="8"/>
        <v xml:space="preserve">  {  name = 'Sunstorm, Fusion Flyer', cost = '11', type = 'Character', rarity = 'RT', number = '38', set = 'T40'  },</v>
      </c>
    </row>
    <row r="40" spans="1:15" x14ac:dyDescent="0.25">
      <c r="A40" t="s">
        <v>116</v>
      </c>
      <c r="B40" t="s">
        <v>117</v>
      </c>
      <c r="C40" t="s">
        <v>118</v>
      </c>
      <c r="D40">
        <v>8</v>
      </c>
      <c r="E40" t="str">
        <f t="shared" si="0"/>
        <v>Thundercracker</v>
      </c>
      <c r="F40" t="str">
        <f t="shared" si="0"/>
        <v>Mach Warrior</v>
      </c>
      <c r="G40" t="str">
        <f t="shared" si="2"/>
        <v>39/T40</v>
      </c>
      <c r="H40" t="str">
        <f t="shared" si="3"/>
        <v>Thundercracker, Mach Warrior</v>
      </c>
      <c r="I40" t="str">
        <f t="shared" si="9"/>
        <v xml:space="preserve">name = 'Thundercracker, Mach Warrior', </v>
      </c>
      <c r="J40" t="str">
        <f t="shared" si="4"/>
        <v xml:space="preserve">cost = '8', </v>
      </c>
      <c r="K40" t="s">
        <v>138</v>
      </c>
      <c r="L40" t="str">
        <f t="shared" si="5"/>
        <v xml:space="preserve">rarity = 'UT', </v>
      </c>
      <c r="M40" t="str">
        <f t="shared" si="6"/>
        <v xml:space="preserve">number = '39', </v>
      </c>
      <c r="N40" t="str">
        <f t="shared" si="7"/>
        <v xml:space="preserve">set = 'T40' </v>
      </c>
      <c r="O40" t="str">
        <f t="shared" si="8"/>
        <v xml:space="preserve">  {  name = 'Thundercracker, Mach Warrior', cost = '8', type = 'Character', rarity = 'UT', number = '39', set = 'T40'  },</v>
      </c>
    </row>
    <row r="41" spans="1:15" x14ac:dyDescent="0.25">
      <c r="A41" t="s">
        <v>119</v>
      </c>
      <c r="B41" t="s">
        <v>120</v>
      </c>
      <c r="C41" t="s">
        <v>121</v>
      </c>
      <c r="D41">
        <v>9</v>
      </c>
      <c r="E41" t="str">
        <f t="shared" si="0"/>
        <v>Wheeljack</v>
      </c>
      <c r="F41" t="str">
        <f t="shared" si="0"/>
        <v>Weapons Inventor</v>
      </c>
      <c r="G41" t="str">
        <f t="shared" si="2"/>
        <v>40/T40</v>
      </c>
      <c r="H41" t="str">
        <f t="shared" si="3"/>
        <v>Wheeljack, Weapons Inventor</v>
      </c>
      <c r="I41" t="str">
        <f t="shared" si="9"/>
        <v xml:space="preserve">name = 'Wheeljack, Weapons Inventor', </v>
      </c>
      <c r="J41" t="str">
        <f t="shared" si="4"/>
        <v xml:space="preserve">cost = '9', </v>
      </c>
      <c r="K41" t="s">
        <v>138</v>
      </c>
      <c r="L41" t="str">
        <f t="shared" si="5"/>
        <v xml:space="preserve">rarity = 'UT', </v>
      </c>
      <c r="M41" t="str">
        <f t="shared" si="6"/>
        <v xml:space="preserve">number = '40', </v>
      </c>
      <c r="N41" t="str">
        <f t="shared" si="7"/>
        <v xml:space="preserve">set = 'T40' </v>
      </c>
      <c r="O41" t="str">
        <f t="shared" si="8"/>
        <v xml:space="preserve">  {  name = 'Wheeljack, Weapons Inventor', cost = '9', type = 'Character', rarity = 'UT', number = '40', set = 'T40'  },</v>
      </c>
    </row>
    <row r="42" spans="1:15" x14ac:dyDescent="0.25">
      <c r="A42" t="s">
        <v>122</v>
      </c>
      <c r="B42" t="s">
        <v>26</v>
      </c>
      <c r="C42" t="s">
        <v>123</v>
      </c>
      <c r="D42">
        <v>6</v>
      </c>
      <c r="E42" t="str">
        <f t="shared" si="0"/>
        <v>Bumblebee</v>
      </c>
      <c r="F42" t="str">
        <f t="shared" si="0"/>
        <v>Brave Warrior</v>
      </c>
      <c r="G42" t="str">
        <f t="shared" si="2"/>
        <v>T01/T04</v>
      </c>
      <c r="H42" t="str">
        <f t="shared" si="3"/>
        <v>Bumblebee, Brave Warrior</v>
      </c>
      <c r="I42" t="str">
        <f t="shared" si="9"/>
        <v xml:space="preserve">name = 'Bumblebee, Brave Warrior', </v>
      </c>
      <c r="J42" t="str">
        <f t="shared" si="4"/>
        <v xml:space="preserve">cost = '6', </v>
      </c>
      <c r="K42" t="s">
        <v>138</v>
      </c>
      <c r="L42" t="str">
        <f t="shared" si="5"/>
        <v xml:space="preserve">rarity = 'RT', </v>
      </c>
      <c r="M42" t="str">
        <f t="shared" si="6"/>
        <v xml:space="preserve">number = 'T01', </v>
      </c>
      <c r="N42" t="str">
        <f t="shared" si="7"/>
        <v xml:space="preserve">set = 'T04' </v>
      </c>
      <c r="O42" t="str">
        <f t="shared" si="8"/>
        <v xml:space="preserve">  {  name = 'Bumblebee, Brave Warrior', cost = '6', type = 'Character', rarity = 'RT', number = 'T01', set = 'T04'  },</v>
      </c>
    </row>
    <row r="43" spans="1:15" x14ac:dyDescent="0.25">
      <c r="A43" t="s">
        <v>124</v>
      </c>
      <c r="B43" t="s">
        <v>125</v>
      </c>
      <c r="C43" t="s">
        <v>126</v>
      </c>
      <c r="D43">
        <v>6</v>
      </c>
      <c r="E43" t="str">
        <f t="shared" si="0"/>
        <v>Ironhide</v>
      </c>
      <c r="F43" t="str">
        <f t="shared" si="0"/>
        <v>Veteran Autobot</v>
      </c>
      <c r="G43" t="str">
        <f t="shared" si="2"/>
        <v>T02/T04</v>
      </c>
      <c r="H43" t="str">
        <f t="shared" si="3"/>
        <v>Ironhide, Veteran Autobot</v>
      </c>
      <c r="I43" t="str">
        <f t="shared" si="9"/>
        <v xml:space="preserve">name = 'Ironhide, Veteran Autobot', </v>
      </c>
      <c r="J43" t="str">
        <f t="shared" si="4"/>
        <v xml:space="preserve">cost = '6', </v>
      </c>
      <c r="K43" t="s">
        <v>138</v>
      </c>
      <c r="L43" t="str">
        <f t="shared" si="5"/>
        <v xml:space="preserve">rarity = 'RT', </v>
      </c>
      <c r="M43" t="str">
        <f t="shared" si="6"/>
        <v xml:space="preserve">number = 'T02', </v>
      </c>
      <c r="N43" t="str">
        <f t="shared" si="7"/>
        <v xml:space="preserve">set = 'T04' </v>
      </c>
      <c r="O43" t="str">
        <f t="shared" si="8"/>
        <v xml:space="preserve">  {  name = 'Ironhide, Veteran Autobot', cost = '6', type = 'Character', rarity = 'RT', number = 'T02', set = 'T04'  },</v>
      </c>
    </row>
    <row r="44" spans="1:15" x14ac:dyDescent="0.25">
      <c r="A44" t="s">
        <v>127</v>
      </c>
      <c r="B44" t="s">
        <v>88</v>
      </c>
      <c r="C44" t="s">
        <v>128</v>
      </c>
      <c r="D44">
        <v>7</v>
      </c>
      <c r="E44" t="str">
        <f t="shared" si="0"/>
        <v>Optimus Prime</v>
      </c>
      <c r="F44" t="str">
        <f t="shared" si="0"/>
        <v>Autobot Leader</v>
      </c>
      <c r="G44" t="str">
        <f t="shared" si="2"/>
        <v>T03/T04</v>
      </c>
      <c r="H44" t="str">
        <f t="shared" si="3"/>
        <v>Optimus Prime, Autobot Leader</v>
      </c>
      <c r="I44" t="str">
        <f t="shared" si="9"/>
        <v xml:space="preserve">name = 'Optimus Prime, Autobot Leader', </v>
      </c>
      <c r="J44" t="str">
        <f t="shared" si="4"/>
        <v xml:space="preserve">cost = '7', </v>
      </c>
      <c r="K44" t="s">
        <v>138</v>
      </c>
      <c r="L44" t="str">
        <f t="shared" si="5"/>
        <v xml:space="preserve">rarity = 'RT', </v>
      </c>
      <c r="M44" t="str">
        <f t="shared" si="6"/>
        <v xml:space="preserve">number = 'T03', </v>
      </c>
      <c r="N44" t="str">
        <f t="shared" si="7"/>
        <v xml:space="preserve">set = 'T04' </v>
      </c>
      <c r="O44" t="str">
        <f t="shared" si="8"/>
        <v xml:space="preserve">  {  name = 'Optimus Prime, Autobot Leader', cost = '7', type = 'Character', rarity = 'RT', number = 'T03', set = 'T04'  },</v>
      </c>
    </row>
    <row r="45" spans="1:15" x14ac:dyDescent="0.25">
      <c r="A45" t="s">
        <v>129</v>
      </c>
      <c r="B45" t="s">
        <v>130</v>
      </c>
      <c r="C45" t="s">
        <v>131</v>
      </c>
      <c r="D45">
        <v>6</v>
      </c>
      <c r="E45" t="str">
        <f t="shared" si="0"/>
        <v>Red Alert</v>
      </c>
      <c r="F45" t="str">
        <f t="shared" si="0"/>
        <v>Security Chief</v>
      </c>
      <c r="G45" t="str">
        <f t="shared" si="2"/>
        <v>T04/T04</v>
      </c>
      <c r="H45" t="str">
        <f t="shared" si="3"/>
        <v>Red Alert, Security Chief</v>
      </c>
      <c r="I45" t="str">
        <f t="shared" si="9"/>
        <v xml:space="preserve">name = 'Red Alert, Security Chief', </v>
      </c>
      <c r="J45" t="str">
        <f t="shared" si="4"/>
        <v xml:space="preserve">cost = '6', </v>
      </c>
      <c r="K45" t="s">
        <v>138</v>
      </c>
      <c r="L45" t="str">
        <f t="shared" si="5"/>
        <v xml:space="preserve">rarity = 'RT', </v>
      </c>
      <c r="M45" t="str">
        <f t="shared" si="6"/>
        <v xml:space="preserve">number = 'T04', </v>
      </c>
      <c r="N45" t="str">
        <f t="shared" si="7"/>
        <v xml:space="preserve">set = 'T04' </v>
      </c>
      <c r="O45" t="str">
        <f t="shared" si="8"/>
        <v xml:space="preserve">  {  name = 'Red Alert, Security Chief', cost = '6', type = 'Character', rarity = 'RT', number = 'T04', set = 'T04'  },</v>
      </c>
    </row>
    <row r="46" spans="1:15" x14ac:dyDescent="0.25">
      <c r="A46" t="s">
        <v>132</v>
      </c>
      <c r="B46" t="s">
        <v>133</v>
      </c>
      <c r="C46" t="s">
        <v>134</v>
      </c>
      <c r="D46">
        <v>8</v>
      </c>
      <c r="E46" t="str">
        <f t="shared" si="0"/>
        <v>CliffJumper</v>
      </c>
      <c r="F46" t="str">
        <f t="shared" si="0"/>
        <v>Renegade Warrior</v>
      </c>
      <c r="G46" t="str">
        <f t="shared" si="2"/>
        <v>T01/T02</v>
      </c>
      <c r="H46" t="str">
        <f t="shared" si="3"/>
        <v>CliffJumper, Renegade Warrior</v>
      </c>
      <c r="I46" t="str">
        <f t="shared" si="9"/>
        <v xml:space="preserve">name = 'CliffJumper, Renegade Warrior', </v>
      </c>
      <c r="J46" t="str">
        <f t="shared" si="4"/>
        <v xml:space="preserve">cost = '8', </v>
      </c>
      <c r="K46" t="s">
        <v>138</v>
      </c>
      <c r="L46" t="str">
        <f t="shared" si="5"/>
        <v xml:space="preserve">rarity = 'SRT', </v>
      </c>
      <c r="M46" t="str">
        <f t="shared" si="6"/>
        <v xml:space="preserve">number = 'T01', </v>
      </c>
      <c r="N46" t="str">
        <f t="shared" si="7"/>
        <v xml:space="preserve">set = 'T02' </v>
      </c>
      <c r="O46" t="str">
        <f t="shared" si="8"/>
        <v xml:space="preserve">  {  name = 'CliffJumper, Renegade Warrior', cost = '8', type = 'Character', rarity = 'SRT', number = 'T01', set = 'T02'  },</v>
      </c>
    </row>
    <row r="47" spans="1:15" x14ac:dyDescent="0.25">
      <c r="A47" t="s">
        <v>135</v>
      </c>
      <c r="B47" t="s">
        <v>136</v>
      </c>
      <c r="C47" t="s">
        <v>137</v>
      </c>
      <c r="D47">
        <v>8</v>
      </c>
      <c r="E47" t="str">
        <f t="shared" si="0"/>
        <v>Slipstream</v>
      </c>
      <c r="F47" t="str">
        <f t="shared" si="0"/>
        <v>Strategic Seeker</v>
      </c>
      <c r="G47" t="str">
        <f t="shared" si="2"/>
        <v>T02/T02</v>
      </c>
      <c r="H47" t="str">
        <f t="shared" si="3"/>
        <v>Slipstream, Strategic Seeker</v>
      </c>
      <c r="I47" t="str">
        <f t="shared" si="9"/>
        <v xml:space="preserve">name = 'Slipstream, Strategic Seeker', </v>
      </c>
      <c r="J47" t="str">
        <f t="shared" si="4"/>
        <v xml:space="preserve">cost = '8', </v>
      </c>
      <c r="K47" t="s">
        <v>138</v>
      </c>
      <c r="L47" t="str">
        <f t="shared" si="5"/>
        <v xml:space="preserve">rarity = 'SRT', </v>
      </c>
      <c r="M47" t="str">
        <f t="shared" si="6"/>
        <v xml:space="preserve">number = 'T02', </v>
      </c>
      <c r="N47" t="str">
        <f t="shared" si="7"/>
        <v xml:space="preserve">set = 'T02' </v>
      </c>
      <c r="O47" t="str">
        <f t="shared" si="8"/>
        <v xml:space="preserve">  {  name = 'Slipstream, Strategic Seeker', cost = '8', type = 'Character', rarity = 'SRT', number = 'T02', set = 'T02'  },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84"/>
  <sheetViews>
    <sheetView topLeftCell="B1" workbookViewId="0">
      <selection activeCell="Q6" sqref="Q6"/>
    </sheetView>
  </sheetViews>
  <sheetFormatPr defaultRowHeight="15" x14ac:dyDescent="0.25"/>
  <cols>
    <col min="1" max="1" width="37.5703125" bestFit="1" customWidth="1"/>
    <col min="2" max="2" width="37.5703125" customWidth="1"/>
    <col min="4" max="4" width="11" hidden="1" customWidth="1"/>
    <col min="5" max="5" width="4" bestFit="1" customWidth="1"/>
    <col min="6" max="6" width="28.42578125" bestFit="1" customWidth="1"/>
    <col min="7" max="7" width="8.140625" customWidth="1"/>
    <col min="8" max="9" width="9.42578125" customWidth="1"/>
  </cols>
  <sheetData>
    <row r="1" spans="1:10" x14ac:dyDescent="0.25">
      <c r="C1" t="s">
        <v>224</v>
      </c>
      <c r="E1" t="s">
        <v>225</v>
      </c>
      <c r="F1" t="s">
        <v>226</v>
      </c>
      <c r="G1" t="s">
        <v>228</v>
      </c>
      <c r="H1" t="s">
        <v>229</v>
      </c>
      <c r="I1" t="s">
        <v>230</v>
      </c>
      <c r="J1" t="s">
        <v>227</v>
      </c>
    </row>
    <row r="2" spans="1:10" x14ac:dyDescent="0.25">
      <c r="A2" s="1" t="s">
        <v>141</v>
      </c>
      <c r="B2" t="str">
        <f>SUBSTITUTE(A2, "–", "", 1)</f>
        <v>U001/081  Aerial Recon</v>
      </c>
      <c r="C2" t="str">
        <f>LEFT(B2, (FIND("/", B2) - 1))</f>
        <v>U001</v>
      </c>
      <c r="D2" t="str">
        <f>RIGHT(B2, (LEN(B2) - FIND("/", B2)))</f>
        <v>081  Aerial Recon</v>
      </c>
      <c r="E2" t="str">
        <f>LEFT(D2, 3)</f>
        <v>081</v>
      </c>
      <c r="F2" t="str">
        <f>RIGHT(D2, (LEN(D2) - 5))</f>
        <v>Aerial Recon</v>
      </c>
      <c r="G2">
        <v>1</v>
      </c>
      <c r="J2" t="str">
        <f>getURL(A2)</f>
        <v>https://www.pojo.com/wp-content/uploads/2018/08/aerial-recon-transformers.jpg</v>
      </c>
    </row>
    <row r="3" spans="1:10" x14ac:dyDescent="0.25">
      <c r="A3" s="1" t="s">
        <v>142</v>
      </c>
      <c r="B3" t="str">
        <f t="shared" ref="B3:B66" si="0">SUBSTITUTE(A3, "–", "", 1)</f>
        <v>R002/081  Agility of Bumblebee</v>
      </c>
      <c r="C3" t="str">
        <f t="shared" ref="C3:C66" si="1">LEFT(B3, (FIND("/", B3) - 1))</f>
        <v>R002</v>
      </c>
      <c r="D3" t="str">
        <f t="shared" ref="D3:D66" si="2">RIGHT(B3, (LEN(B3) - FIND("/", B3)))</f>
        <v>081  Agility of Bumblebee</v>
      </c>
      <c r="E3" t="str">
        <f t="shared" ref="E3:E66" si="3">LEFT(D3, 3)</f>
        <v>081</v>
      </c>
      <c r="F3" t="str">
        <f t="shared" ref="F3:F66" si="4">RIGHT(D3, (LEN(D3) - 5))</f>
        <v>Agility of Bumblebee</v>
      </c>
      <c r="G3">
        <v>1</v>
      </c>
      <c r="J3" t="str">
        <f t="shared" ref="J3:J66" si="5">getURL(A3)</f>
        <v>https://www.pojo.com/wp-content/uploads/2018/10/agility-of-bumblebee.jpg</v>
      </c>
    </row>
    <row r="4" spans="1:10" x14ac:dyDescent="0.25">
      <c r="A4" s="1" t="s">
        <v>143</v>
      </c>
      <c r="B4" t="str">
        <f t="shared" si="0"/>
        <v>U003/081  Armed Hovercraft</v>
      </c>
      <c r="C4" t="str">
        <f t="shared" si="1"/>
        <v>U003</v>
      </c>
      <c r="D4" t="str">
        <f t="shared" si="2"/>
        <v>081  Armed Hovercraft</v>
      </c>
      <c r="E4" t="str">
        <f t="shared" si="3"/>
        <v>081</v>
      </c>
      <c r="F4" t="str">
        <f t="shared" si="4"/>
        <v>Armed Hovercraft</v>
      </c>
      <c r="H4">
        <v>1</v>
      </c>
      <c r="J4" t="str">
        <f t="shared" si="5"/>
        <v>https://www.pojo.com/wp-content/uploads/2018/10/armored-hovercraft.jpg</v>
      </c>
    </row>
    <row r="5" spans="1:10" x14ac:dyDescent="0.25">
      <c r="A5" s="1" t="s">
        <v>144</v>
      </c>
      <c r="B5" t="str">
        <f t="shared" si="0"/>
        <v>C004/081  Armored Plating</v>
      </c>
      <c r="C5" t="str">
        <f t="shared" si="1"/>
        <v>C004</v>
      </c>
      <c r="D5" t="str">
        <f t="shared" si="2"/>
        <v>081  Armored Plating</v>
      </c>
      <c r="E5" t="str">
        <f t="shared" si="3"/>
        <v>081</v>
      </c>
      <c r="F5" t="str">
        <f t="shared" si="4"/>
        <v>Armored Plating</v>
      </c>
      <c r="H5">
        <v>1</v>
      </c>
      <c r="J5" t="str">
        <f t="shared" si="5"/>
        <v>https://www.pojo.com/wp-content/uploads/2018/09/armored-plating-transformers-tcg.jpg</v>
      </c>
    </row>
    <row r="6" spans="1:10" x14ac:dyDescent="0.25">
      <c r="A6" s="1" t="s">
        <v>145</v>
      </c>
      <c r="B6" t="str">
        <f t="shared" si="0"/>
        <v>U005/081  Backup Plan</v>
      </c>
      <c r="C6" t="str">
        <f t="shared" si="1"/>
        <v>U005</v>
      </c>
      <c r="D6" t="str">
        <f t="shared" si="2"/>
        <v>081  Backup Plan</v>
      </c>
      <c r="E6" t="str">
        <f t="shared" si="3"/>
        <v>081</v>
      </c>
      <c r="F6" t="str">
        <f t="shared" si="4"/>
        <v>Backup Plan</v>
      </c>
      <c r="I6">
        <v>1</v>
      </c>
      <c r="J6" t="str">
        <f t="shared" si="5"/>
        <v>https://www.pojo.com/wp-content/uploads/2018/10/Backup-Plan.jpg</v>
      </c>
    </row>
    <row r="7" spans="1:10" x14ac:dyDescent="0.25">
      <c r="A7" s="1" t="s">
        <v>146</v>
      </c>
      <c r="B7" t="str">
        <f t="shared" si="0"/>
        <v>C006/081  Battle Ready</v>
      </c>
      <c r="C7" t="str">
        <f t="shared" si="1"/>
        <v>C006</v>
      </c>
      <c r="D7" t="str">
        <f t="shared" si="2"/>
        <v>081  Battle Ready</v>
      </c>
      <c r="E7" t="str">
        <f t="shared" si="3"/>
        <v>081</v>
      </c>
      <c r="F7" t="str">
        <f t="shared" si="4"/>
        <v>Battle Ready</v>
      </c>
      <c r="G7">
        <v>1</v>
      </c>
      <c r="J7" t="str">
        <f t="shared" si="5"/>
        <v>https://www.pojo.com/wp-content/uploads/2018/10/Battle-Ready.jpg</v>
      </c>
    </row>
    <row r="8" spans="1:10" x14ac:dyDescent="0.25">
      <c r="A8" s="1" t="s">
        <v>147</v>
      </c>
      <c r="B8" t="str">
        <f t="shared" si="0"/>
        <v>U007/081  Blast Shield</v>
      </c>
      <c r="C8" t="str">
        <f t="shared" si="1"/>
        <v>U007</v>
      </c>
      <c r="D8" t="str">
        <f t="shared" si="2"/>
        <v>081  Blast Shield</v>
      </c>
      <c r="E8" t="str">
        <f t="shared" si="3"/>
        <v>081</v>
      </c>
      <c r="F8" t="str">
        <f t="shared" si="4"/>
        <v>Blast Shield</v>
      </c>
      <c r="H8">
        <v>1</v>
      </c>
      <c r="J8" t="str">
        <f t="shared" si="5"/>
        <v>https://www.pojo.com/wp-content/uploads/2018/10/Blast-Shield-Transformers.jpg</v>
      </c>
    </row>
    <row r="9" spans="1:10" x14ac:dyDescent="0.25">
      <c r="A9" s="1" t="s">
        <v>148</v>
      </c>
      <c r="B9" t="str">
        <f t="shared" si="0"/>
        <v>U008/081  Body Armor</v>
      </c>
      <c r="C9" t="str">
        <f t="shared" si="1"/>
        <v>U008</v>
      </c>
      <c r="D9" t="str">
        <f t="shared" si="2"/>
        <v>081  Body Armor</v>
      </c>
      <c r="E9" t="str">
        <f t="shared" si="3"/>
        <v>081</v>
      </c>
      <c r="F9" t="str">
        <f t="shared" si="4"/>
        <v>Body Armor</v>
      </c>
      <c r="G9">
        <v>1</v>
      </c>
      <c r="J9" t="str">
        <f t="shared" si="5"/>
        <v>https://www.pojo.com/wp-content/uploads/2018/09/body-armor-transformers-tcg-1.jpg</v>
      </c>
    </row>
    <row r="10" spans="1:10" x14ac:dyDescent="0.25">
      <c r="A10" s="1" t="s">
        <v>149</v>
      </c>
      <c r="B10" t="str">
        <f t="shared" si="0"/>
        <v>R009/081  Bombing Run</v>
      </c>
      <c r="C10" t="str">
        <f t="shared" si="1"/>
        <v>R009</v>
      </c>
      <c r="D10" t="str">
        <f t="shared" si="2"/>
        <v>081  Bombing Run</v>
      </c>
      <c r="E10" t="str">
        <f t="shared" si="3"/>
        <v>081</v>
      </c>
      <c r="F10" t="str">
        <f t="shared" si="4"/>
        <v>Bombing Run</v>
      </c>
      <c r="H10">
        <v>1</v>
      </c>
      <c r="J10" t="str">
        <f t="shared" si="5"/>
        <v>https://www.pojo.com/wp-content/uploads/2018/08/Bombing-Run.jpg</v>
      </c>
    </row>
    <row r="11" spans="1:10" x14ac:dyDescent="0.25">
      <c r="A11" s="1" t="s">
        <v>150</v>
      </c>
      <c r="B11" t="str">
        <f t="shared" si="0"/>
        <v>C010/081  Brainstorm</v>
      </c>
      <c r="C11" t="str">
        <f t="shared" si="1"/>
        <v>C010</v>
      </c>
      <c r="D11" t="str">
        <f t="shared" si="2"/>
        <v>081  Brainstorm</v>
      </c>
      <c r="E11" t="str">
        <f t="shared" si="3"/>
        <v>081</v>
      </c>
      <c r="F11" t="str">
        <f t="shared" si="4"/>
        <v>Brainstorm</v>
      </c>
      <c r="H11">
        <v>1</v>
      </c>
      <c r="J11" t="str">
        <f t="shared" si="5"/>
        <v>https://www.pojo.com/wp-content/uploads/2018/10/Brainstorm.jpg</v>
      </c>
    </row>
    <row r="12" spans="1:10" x14ac:dyDescent="0.25">
      <c r="A12" s="1" t="s">
        <v>151</v>
      </c>
      <c r="B12" t="str">
        <f t="shared" si="0"/>
        <v>U011/081  Bug Bomb</v>
      </c>
      <c r="C12" t="str">
        <f t="shared" si="1"/>
        <v>U011</v>
      </c>
      <c r="D12" t="str">
        <f t="shared" si="2"/>
        <v>081  Bug Bomb</v>
      </c>
      <c r="E12" t="str">
        <f t="shared" si="3"/>
        <v>081</v>
      </c>
      <c r="F12" t="str">
        <f t="shared" si="4"/>
        <v>Bug Bomb</v>
      </c>
      <c r="H12">
        <v>1</v>
      </c>
      <c r="J12" t="str">
        <f t="shared" si="5"/>
        <v>https://www.pojo.com/wp-content/uploads/2018/09/bug-bomb-transformers-tcg.jpg</v>
      </c>
    </row>
    <row r="13" spans="1:10" x14ac:dyDescent="0.25">
      <c r="A13" s="1" t="s">
        <v>152</v>
      </c>
      <c r="B13" t="str">
        <f t="shared" si="0"/>
        <v>R012/081  Cargo Trailer</v>
      </c>
      <c r="C13" t="str">
        <f t="shared" si="1"/>
        <v>R012</v>
      </c>
      <c r="D13" t="str">
        <f t="shared" si="2"/>
        <v>081  Cargo Trailer</v>
      </c>
      <c r="E13" t="str">
        <f t="shared" si="3"/>
        <v>081</v>
      </c>
      <c r="F13" t="str">
        <f t="shared" si="4"/>
        <v>Cargo Trailer</v>
      </c>
      <c r="H13">
        <v>1</v>
      </c>
      <c r="J13" t="str">
        <f t="shared" si="5"/>
        <v>https://www.pojo.com/wp-content/uploads/2018/10/Cargo-Trailer-Transformers.jpg</v>
      </c>
    </row>
    <row r="14" spans="1:10" x14ac:dyDescent="0.25">
      <c r="A14" s="1" t="s">
        <v>153</v>
      </c>
      <c r="B14" t="str">
        <f t="shared" si="0"/>
        <v>U013/081  Collateral Damage</v>
      </c>
      <c r="C14" t="str">
        <f t="shared" si="1"/>
        <v>U013</v>
      </c>
      <c r="D14" t="str">
        <f t="shared" si="2"/>
        <v>081  Collateral Damage</v>
      </c>
      <c r="E14" t="str">
        <f t="shared" si="3"/>
        <v>081</v>
      </c>
      <c r="F14" t="str">
        <f t="shared" si="4"/>
        <v>Collateral Damage</v>
      </c>
      <c r="H14">
        <v>1</v>
      </c>
      <c r="J14" t="str">
        <f t="shared" si="5"/>
        <v>https://www.pojo.com/wp-content/uploads/2018/10/Collateral-Damage-Transformers.jpg</v>
      </c>
    </row>
    <row r="15" spans="1:10" x14ac:dyDescent="0.25">
      <c r="A15" s="1" t="s">
        <v>154</v>
      </c>
      <c r="B15" t="str">
        <f t="shared" si="0"/>
        <v>R014/081  Combat Training</v>
      </c>
      <c r="C15" t="str">
        <f t="shared" si="1"/>
        <v>R014</v>
      </c>
      <c r="D15" t="str">
        <f t="shared" si="2"/>
        <v>081  Combat Training</v>
      </c>
      <c r="E15" t="str">
        <f t="shared" si="3"/>
        <v>081</v>
      </c>
      <c r="F15" t="str">
        <f t="shared" si="4"/>
        <v>Combat Training</v>
      </c>
      <c r="I15">
        <v>1</v>
      </c>
      <c r="J15" t="str">
        <f t="shared" si="5"/>
        <v>https://www.pojo.com/wp-content/uploads/2018/10/Combat-Training-Transformers.jpg</v>
      </c>
    </row>
    <row r="16" spans="1:10" x14ac:dyDescent="0.25">
      <c r="A16" s="1" t="s">
        <v>155</v>
      </c>
      <c r="B16" t="str">
        <f t="shared" si="0"/>
        <v>U015/081  Computer Sabotage</v>
      </c>
      <c r="C16" t="str">
        <f t="shared" si="1"/>
        <v>U015</v>
      </c>
      <c r="D16" t="str">
        <f t="shared" si="2"/>
        <v>081  Computer Sabotage</v>
      </c>
      <c r="E16" t="str">
        <f t="shared" si="3"/>
        <v>081</v>
      </c>
      <c r="F16" t="str">
        <f t="shared" si="4"/>
        <v>Computer Sabotage</v>
      </c>
      <c r="G16">
        <v>1</v>
      </c>
      <c r="J16" t="str">
        <f t="shared" si="5"/>
        <v>https://www.pojo.com/wp-content/uploads/2018/10/Computer-Sabotage-Transformers-TCG.jpg</v>
      </c>
    </row>
    <row r="17" spans="1:10" x14ac:dyDescent="0.25">
      <c r="A17" s="1" t="s">
        <v>156</v>
      </c>
      <c r="B17" t="str">
        <f t="shared" si="0"/>
        <v>C016/081  Crushing Size</v>
      </c>
      <c r="C17" t="str">
        <f t="shared" si="1"/>
        <v>C016</v>
      </c>
      <c r="D17" t="str">
        <f t="shared" si="2"/>
        <v>081  Crushing Size</v>
      </c>
      <c r="E17" t="str">
        <f t="shared" si="3"/>
        <v>081</v>
      </c>
      <c r="F17" t="str">
        <f t="shared" si="4"/>
        <v>Crushing Size</v>
      </c>
      <c r="I17">
        <v>1</v>
      </c>
      <c r="J17" t="str">
        <f t="shared" si="5"/>
        <v>https://www.pojo.com/wp-content/uploads/2018/10/Crushing-Size-Transformers.jpg</v>
      </c>
    </row>
    <row r="18" spans="1:10" x14ac:dyDescent="0.25">
      <c r="A18" s="1" t="s">
        <v>157</v>
      </c>
      <c r="B18" t="str">
        <f t="shared" si="0"/>
        <v>U017/081  Crushing Treads</v>
      </c>
      <c r="C18" t="str">
        <f t="shared" si="1"/>
        <v>U017</v>
      </c>
      <c r="D18" t="str">
        <f t="shared" si="2"/>
        <v>081  Crushing Treads</v>
      </c>
      <c r="E18" t="str">
        <f t="shared" si="3"/>
        <v>081</v>
      </c>
      <c r="F18" t="str">
        <f t="shared" si="4"/>
        <v>Crushing Treads</v>
      </c>
      <c r="G18">
        <v>1</v>
      </c>
      <c r="J18" t="str">
        <f t="shared" si="5"/>
        <v>https://www.pojo.com/wp-content/uploads/2018/09/crushing-treads-transformers-tcg.jpg</v>
      </c>
    </row>
    <row r="19" spans="1:10" x14ac:dyDescent="0.25">
      <c r="A19" s="1" t="s">
        <v>158</v>
      </c>
      <c r="B19" t="str">
        <f t="shared" si="0"/>
        <v>R018/081  Cybertonium Bow</v>
      </c>
      <c r="C19" t="str">
        <f t="shared" si="1"/>
        <v>R018</v>
      </c>
      <c r="D19" t="str">
        <f t="shared" si="2"/>
        <v>081  Cybertonium Bow</v>
      </c>
      <c r="E19" t="str">
        <f t="shared" si="3"/>
        <v>081</v>
      </c>
      <c r="F19" t="str">
        <f t="shared" si="4"/>
        <v>Cybertonium Bow</v>
      </c>
      <c r="H19">
        <v>1</v>
      </c>
      <c r="J19" t="str">
        <f t="shared" si="5"/>
        <v>https://www.pojo.com/wp-content/uploads/2018/10/Cybertonium-Bow.jpg</v>
      </c>
    </row>
    <row r="20" spans="1:10" x14ac:dyDescent="0.25">
      <c r="A20" s="1" t="s">
        <v>159</v>
      </c>
      <c r="B20" t="str">
        <f t="shared" si="0"/>
        <v>R019/081  Data Bank</v>
      </c>
      <c r="C20" t="str">
        <f t="shared" si="1"/>
        <v>R019</v>
      </c>
      <c r="D20" t="str">
        <f t="shared" si="2"/>
        <v>081  Data Bank</v>
      </c>
      <c r="E20" t="str">
        <f t="shared" si="3"/>
        <v>081</v>
      </c>
      <c r="F20" t="str">
        <f t="shared" si="4"/>
        <v>Data Bank</v>
      </c>
      <c r="I20">
        <v>1</v>
      </c>
      <c r="J20" t="str">
        <f t="shared" si="5"/>
        <v>https://www.pojo.com/wp-content/uploads/2018/09/data-bank-transformers-tcg.jpg</v>
      </c>
    </row>
    <row r="21" spans="1:10" x14ac:dyDescent="0.25">
      <c r="A21" s="1" t="s">
        <v>160</v>
      </c>
      <c r="B21" t="str">
        <f t="shared" si="0"/>
        <v>C020/081  Data Pad</v>
      </c>
      <c r="C21" t="str">
        <f t="shared" si="1"/>
        <v>C020</v>
      </c>
      <c r="D21" t="str">
        <f t="shared" si="2"/>
        <v>081  Data Pad</v>
      </c>
      <c r="E21" t="str">
        <f t="shared" si="3"/>
        <v>081</v>
      </c>
      <c r="F21" t="str">
        <f t="shared" si="4"/>
        <v>Data Pad</v>
      </c>
      <c r="I21">
        <v>1</v>
      </c>
      <c r="J21" t="str">
        <f t="shared" si="5"/>
        <v>https://www.pojo.com/wp-content/uploads/2018/09/data-pad-transformers-tcg.jpg</v>
      </c>
    </row>
    <row r="22" spans="1:10" x14ac:dyDescent="0.25">
      <c r="A22" s="1" t="s">
        <v>161</v>
      </c>
      <c r="B22" t="str">
        <f t="shared" si="0"/>
        <v>U021/081  Debilitating Crystal</v>
      </c>
      <c r="C22" t="str">
        <f t="shared" si="1"/>
        <v>U021</v>
      </c>
      <c r="D22" t="str">
        <f t="shared" si="2"/>
        <v>081  Debilitating Crystal</v>
      </c>
      <c r="E22" t="str">
        <f t="shared" si="3"/>
        <v>081</v>
      </c>
      <c r="F22" t="str">
        <f t="shared" si="4"/>
        <v>Debilitating Crystal</v>
      </c>
      <c r="I22">
        <v>1</v>
      </c>
      <c r="J22" t="str">
        <f t="shared" si="5"/>
        <v>https://www.pojo.com/wp-content/uploads/2018/10/Debilitating-Crystal-Transformers.jpg</v>
      </c>
    </row>
    <row r="23" spans="1:10" x14ac:dyDescent="0.25">
      <c r="A23" s="1" t="s">
        <v>162</v>
      </c>
      <c r="B23" t="str">
        <f t="shared" si="0"/>
        <v>R022/081  Dino-Chomp!</v>
      </c>
      <c r="C23" t="str">
        <f t="shared" si="1"/>
        <v>R022</v>
      </c>
      <c r="D23" t="str">
        <f t="shared" si="2"/>
        <v>081  Dino-Chomp!</v>
      </c>
      <c r="E23" t="str">
        <f t="shared" si="3"/>
        <v>081</v>
      </c>
      <c r="F23" t="str">
        <f t="shared" si="4"/>
        <v>Dino-Chomp!</v>
      </c>
      <c r="H23">
        <v>1</v>
      </c>
      <c r="J23" t="str">
        <f t="shared" si="5"/>
        <v>https://www.pojo.com/wp-content/uploads/2018/10/dino-chomp-transformers.jpg</v>
      </c>
    </row>
    <row r="24" spans="1:10" x14ac:dyDescent="0.25">
      <c r="A24" s="1" t="s">
        <v>163</v>
      </c>
      <c r="B24" t="str">
        <f t="shared" si="0"/>
        <v>U023/081  Disarm</v>
      </c>
      <c r="C24" t="str">
        <f t="shared" si="1"/>
        <v>U023</v>
      </c>
      <c r="D24" t="str">
        <f t="shared" si="2"/>
        <v>081  Disarm</v>
      </c>
      <c r="E24" t="str">
        <f t="shared" si="3"/>
        <v>081</v>
      </c>
      <c r="F24" t="str">
        <f t="shared" si="4"/>
        <v>Disarm</v>
      </c>
      <c r="H24">
        <v>1</v>
      </c>
      <c r="J24" t="str">
        <f t="shared" si="5"/>
        <v>https://www.pojo.com/wp-content/uploads/2018/10/disarm-transformers.jpg</v>
      </c>
    </row>
    <row r="25" spans="1:10" x14ac:dyDescent="0.25">
      <c r="A25" s="1" t="s">
        <v>164</v>
      </c>
      <c r="B25" t="str">
        <f t="shared" si="0"/>
        <v>U024/081  Disruption</v>
      </c>
      <c r="C25" t="str">
        <f t="shared" si="1"/>
        <v>U024</v>
      </c>
      <c r="D25" t="str">
        <f t="shared" si="2"/>
        <v>081  Disruption</v>
      </c>
      <c r="E25" t="str">
        <f t="shared" si="3"/>
        <v>081</v>
      </c>
      <c r="F25" t="str">
        <f t="shared" si="4"/>
        <v>Disruption</v>
      </c>
      <c r="G25">
        <v>1</v>
      </c>
      <c r="J25" t="str">
        <f t="shared" si="5"/>
        <v>https://www.pojo.com/wp-content/uploads/2018/10/disruption-transformers.jpg</v>
      </c>
    </row>
    <row r="26" spans="1:10" x14ac:dyDescent="0.25">
      <c r="A26" s="1" t="s">
        <v>165</v>
      </c>
      <c r="B26" t="str">
        <f t="shared" si="0"/>
        <v>R025/081  Disruptive Entrance</v>
      </c>
      <c r="C26" t="str">
        <f t="shared" si="1"/>
        <v>R025</v>
      </c>
      <c r="D26" t="str">
        <f t="shared" si="2"/>
        <v>081  Disruptive Entrance</v>
      </c>
      <c r="E26" t="str">
        <f t="shared" si="3"/>
        <v>081</v>
      </c>
      <c r="F26" t="str">
        <f t="shared" si="4"/>
        <v>Disruptive Entrance</v>
      </c>
      <c r="H26">
        <v>1</v>
      </c>
      <c r="J26" t="str">
        <f t="shared" si="5"/>
        <v>https://www.pojo.com/wp-content/uploads/2018/10/Disruptive-Entrance-transformers.jpg</v>
      </c>
    </row>
    <row r="27" spans="1:10" x14ac:dyDescent="0.25">
      <c r="A27" s="1" t="s">
        <v>166</v>
      </c>
      <c r="B27" t="str">
        <f t="shared" si="0"/>
        <v>C026/081  Drill Arms</v>
      </c>
      <c r="C27" t="str">
        <f t="shared" si="1"/>
        <v>C026</v>
      </c>
      <c r="D27" t="str">
        <f t="shared" si="2"/>
        <v>081  Drill Arms</v>
      </c>
      <c r="E27" t="str">
        <f t="shared" si="3"/>
        <v>081</v>
      </c>
      <c r="F27" t="str">
        <f t="shared" si="4"/>
        <v>Drill Arms</v>
      </c>
      <c r="H27">
        <v>1</v>
      </c>
      <c r="J27" t="str">
        <f t="shared" si="5"/>
        <v>https://www.pojo.com/wp-content/uploads/2018/09/drill-arm-transformers-tcg-1.jpg</v>
      </c>
    </row>
    <row r="28" spans="1:10" x14ac:dyDescent="0.25">
      <c r="A28" s="1" t="s">
        <v>167</v>
      </c>
      <c r="B28" t="str">
        <f t="shared" si="0"/>
        <v>U027/081  Emergency Maintenance</v>
      </c>
      <c r="C28" t="str">
        <f t="shared" si="1"/>
        <v>U027</v>
      </c>
      <c r="D28" t="str">
        <f t="shared" si="2"/>
        <v>081  Emergency Maintenance</v>
      </c>
      <c r="E28" t="str">
        <f t="shared" si="3"/>
        <v>081</v>
      </c>
      <c r="F28" t="str">
        <f t="shared" si="4"/>
        <v>Emergency Maintenance</v>
      </c>
      <c r="G28">
        <v>1</v>
      </c>
      <c r="J28" t="str">
        <f t="shared" si="5"/>
        <v>https://www.pojo.com/wp-content/uploads/2018/10/Emergency-Maintenance.jpg</v>
      </c>
    </row>
    <row r="29" spans="1:10" x14ac:dyDescent="0.25">
      <c r="A29" s="1" t="s">
        <v>168</v>
      </c>
      <c r="B29" t="str">
        <f t="shared" si="0"/>
        <v>R028/081  Energon Axe</v>
      </c>
      <c r="C29" t="str">
        <f t="shared" si="1"/>
        <v>R028</v>
      </c>
      <c r="D29" t="str">
        <f t="shared" si="2"/>
        <v>081  Energon Axe</v>
      </c>
      <c r="E29" t="str">
        <f t="shared" si="3"/>
        <v>081</v>
      </c>
      <c r="F29" t="str">
        <f t="shared" si="4"/>
        <v>Energon Axe</v>
      </c>
      <c r="H29">
        <v>1</v>
      </c>
      <c r="J29" t="str">
        <f t="shared" si="5"/>
        <v>https://www.pojo.com/wp-content/uploads/2018/10/Energon-Axe.jpg</v>
      </c>
    </row>
    <row r="30" spans="1:10" x14ac:dyDescent="0.25">
      <c r="A30" s="1" t="s">
        <v>169</v>
      </c>
      <c r="B30" t="str">
        <f t="shared" si="0"/>
        <v>U029/081  Equipment Enthusiast</v>
      </c>
      <c r="C30" t="str">
        <f t="shared" si="1"/>
        <v>U029</v>
      </c>
      <c r="D30" t="str">
        <f t="shared" si="2"/>
        <v>081  Equipment Enthusiast</v>
      </c>
      <c r="E30" t="str">
        <f t="shared" si="3"/>
        <v>081</v>
      </c>
      <c r="F30" t="str">
        <f t="shared" si="4"/>
        <v>Equipment Enthusiast</v>
      </c>
      <c r="I30">
        <v>1</v>
      </c>
      <c r="J30" t="str">
        <f t="shared" si="5"/>
        <v>https://www.pojo.com/wp-content/uploads/2018/09/equipment-enthusiast-transformers-tcg-1.jpg</v>
      </c>
    </row>
    <row r="31" spans="1:10" x14ac:dyDescent="0.25">
      <c r="A31" s="1" t="s">
        <v>170</v>
      </c>
      <c r="B31" t="str">
        <f t="shared" si="0"/>
        <v>C030/081  Flamethrower</v>
      </c>
      <c r="C31" t="str">
        <f t="shared" si="1"/>
        <v>C030</v>
      </c>
      <c r="D31" t="str">
        <f t="shared" si="2"/>
        <v>081  Flamethrower</v>
      </c>
      <c r="E31" t="str">
        <f t="shared" si="3"/>
        <v>081</v>
      </c>
      <c r="F31" t="str">
        <f t="shared" si="4"/>
        <v>Flamethrower</v>
      </c>
      <c r="G31">
        <v>1</v>
      </c>
      <c r="J31" t="str">
        <f t="shared" si="5"/>
        <v>https://www.pojo.com/wp-content/uploads/2018/10/Flamerthrower-Transformers.jpg</v>
      </c>
    </row>
    <row r="32" spans="1:10" x14ac:dyDescent="0.25">
      <c r="A32" s="1" t="s">
        <v>171</v>
      </c>
      <c r="B32" t="str">
        <f t="shared" si="0"/>
        <v>C031/081  Force Field</v>
      </c>
      <c r="C32" t="str">
        <f t="shared" si="1"/>
        <v>C031</v>
      </c>
      <c r="D32" t="str">
        <f t="shared" si="2"/>
        <v>081  Force Field</v>
      </c>
      <c r="E32" t="str">
        <f t="shared" si="3"/>
        <v>081</v>
      </c>
      <c r="F32" t="str">
        <f t="shared" si="4"/>
        <v>Force Field</v>
      </c>
      <c r="I32">
        <v>1</v>
      </c>
      <c r="J32" t="str">
        <f t="shared" si="5"/>
        <v>https://www.pojo.com/wp-content/uploads/2018/10/Force-field-Transformers.jpg</v>
      </c>
    </row>
    <row r="33" spans="1:10" x14ac:dyDescent="0.25">
      <c r="A33" s="1" t="s">
        <v>172</v>
      </c>
      <c r="B33" t="str">
        <f t="shared" si="0"/>
        <v>R032/081  Fusion Cannon of Megatron</v>
      </c>
      <c r="C33" t="str">
        <f t="shared" si="1"/>
        <v>R032</v>
      </c>
      <c r="D33" t="str">
        <f t="shared" si="2"/>
        <v>081  Fusion Cannon of Megatron</v>
      </c>
      <c r="E33" t="str">
        <f t="shared" si="3"/>
        <v>081</v>
      </c>
      <c r="F33" t="str">
        <f t="shared" si="4"/>
        <v>Fusion Cannon of Megatron</v>
      </c>
      <c r="H33">
        <v>1</v>
      </c>
      <c r="J33" t="str">
        <f t="shared" si="5"/>
        <v>https://www.pojo.com/wp-content/uploads/2018/10/Fusion-Cannon-of-Megatron.jpg</v>
      </c>
    </row>
    <row r="34" spans="1:10" x14ac:dyDescent="0.25">
      <c r="A34" s="1" t="s">
        <v>173</v>
      </c>
      <c r="B34" t="str">
        <f t="shared" si="0"/>
        <v>U033/081  Grenade Launcher</v>
      </c>
      <c r="C34" t="str">
        <f t="shared" si="1"/>
        <v>U033</v>
      </c>
      <c r="D34" t="str">
        <f t="shared" si="2"/>
        <v>081  Grenade Launcher</v>
      </c>
      <c r="E34" t="str">
        <f t="shared" si="3"/>
        <v>081</v>
      </c>
      <c r="F34" t="str">
        <f t="shared" si="4"/>
        <v>Grenade Launcher</v>
      </c>
      <c r="G34">
        <v>1</v>
      </c>
      <c r="J34" t="str">
        <f t="shared" si="5"/>
        <v>https://www.pojo.com/wp-content/uploads/2018/08/grenade-launcher-transformers.jpg</v>
      </c>
    </row>
    <row r="35" spans="1:10" x14ac:dyDescent="0.25">
      <c r="A35" s="1" t="s">
        <v>174</v>
      </c>
      <c r="B35" t="str">
        <f t="shared" si="0"/>
        <v>C034/081  Handheld Blaster</v>
      </c>
      <c r="C35" t="str">
        <f t="shared" si="1"/>
        <v>C034</v>
      </c>
      <c r="D35" t="str">
        <f t="shared" si="2"/>
        <v>081  Handheld Blaster</v>
      </c>
      <c r="E35" t="str">
        <f t="shared" si="3"/>
        <v>081</v>
      </c>
      <c r="F35" t="str">
        <f t="shared" si="4"/>
        <v>Handheld Blaster</v>
      </c>
      <c r="H35">
        <v>2</v>
      </c>
      <c r="J35" t="str">
        <f t="shared" si="5"/>
        <v>https://www.pojo.com/wp-content/uploads/2018/10/Handheld-Blaster.jpg</v>
      </c>
    </row>
    <row r="36" spans="1:10" x14ac:dyDescent="0.25">
      <c r="A36" s="1" t="s">
        <v>175</v>
      </c>
      <c r="B36" t="str">
        <f t="shared" si="0"/>
        <v>R035/081  Heroism</v>
      </c>
      <c r="C36" t="str">
        <f t="shared" si="1"/>
        <v>R035</v>
      </c>
      <c r="D36" t="str">
        <f t="shared" si="2"/>
        <v>081  Heroism</v>
      </c>
      <c r="E36" t="str">
        <f t="shared" si="3"/>
        <v>081</v>
      </c>
      <c r="F36" t="str">
        <f t="shared" si="4"/>
        <v>Heroism</v>
      </c>
      <c r="H36">
        <v>1</v>
      </c>
      <c r="J36" t="str">
        <f t="shared" si="5"/>
        <v>https://www.pojo.com/wp-content/uploads/2018/10/Heroism.jpg</v>
      </c>
    </row>
    <row r="37" spans="1:10" x14ac:dyDescent="0.25">
      <c r="A37" s="1" t="s">
        <v>176</v>
      </c>
      <c r="B37" t="str">
        <f t="shared" si="0"/>
        <v>R036/081  Hunker Down</v>
      </c>
      <c r="C37" t="str">
        <f t="shared" si="1"/>
        <v>R036</v>
      </c>
      <c r="D37" t="str">
        <f t="shared" si="2"/>
        <v>081  Hunker Down</v>
      </c>
      <c r="E37" t="str">
        <f t="shared" si="3"/>
        <v>081</v>
      </c>
      <c r="F37" t="str">
        <f t="shared" si="4"/>
        <v>Hunker Down</v>
      </c>
      <c r="H37">
        <v>1</v>
      </c>
      <c r="J37" t="str">
        <f t="shared" si="5"/>
        <v>https://www.pojo.com/wp-content/uploads/2018/08/Hunker-Down-Transformers-TCG.jpg</v>
      </c>
    </row>
    <row r="38" spans="1:10" x14ac:dyDescent="0.25">
      <c r="A38" s="1" t="s">
        <v>177</v>
      </c>
      <c r="B38" t="str">
        <f t="shared" si="0"/>
        <v>R037/081  I Still Function! </v>
      </c>
      <c r="C38" t="str">
        <f t="shared" si="1"/>
        <v>R037</v>
      </c>
      <c r="D38" t="str">
        <f t="shared" si="2"/>
        <v>081  I Still Function! </v>
      </c>
      <c r="E38" t="str">
        <f t="shared" si="3"/>
        <v>081</v>
      </c>
      <c r="F38" t="str">
        <f t="shared" si="4"/>
        <v>I Still Function! </v>
      </c>
      <c r="J38" t="str">
        <f t="shared" si="5"/>
        <v>https://www.pojo.com/wp-content/uploads/2018/09/i-still-funtion-transformers-tcg.jpg</v>
      </c>
    </row>
    <row r="39" spans="1:10" x14ac:dyDescent="0.25">
      <c r="A39" s="1" t="s">
        <v>178</v>
      </c>
      <c r="B39" t="str">
        <f t="shared" si="0"/>
        <v>C038/081  Improvised Shield</v>
      </c>
      <c r="C39" t="str">
        <f t="shared" si="1"/>
        <v>C038</v>
      </c>
      <c r="D39" t="str">
        <f t="shared" si="2"/>
        <v>081  Improvised Shield</v>
      </c>
      <c r="E39" t="str">
        <f t="shared" si="3"/>
        <v>081</v>
      </c>
      <c r="F39" t="str">
        <f t="shared" si="4"/>
        <v>Improvised Shield</v>
      </c>
      <c r="G39">
        <v>2</v>
      </c>
      <c r="J39" t="str">
        <f t="shared" si="5"/>
        <v>https://www.pojo.com/wp-content/uploads/2018/10/Improvised-Shield.jpg</v>
      </c>
    </row>
    <row r="40" spans="1:10" x14ac:dyDescent="0.25">
      <c r="A40" s="1" t="s">
        <v>179</v>
      </c>
      <c r="B40" t="str">
        <f t="shared" si="0"/>
        <v>C039/081  Incoming Transmission</v>
      </c>
      <c r="C40" t="str">
        <f t="shared" si="1"/>
        <v>C039</v>
      </c>
      <c r="D40" t="str">
        <f t="shared" si="2"/>
        <v>081  Incoming Transmission</v>
      </c>
      <c r="E40" t="str">
        <f t="shared" si="3"/>
        <v>081</v>
      </c>
      <c r="F40" t="str">
        <f t="shared" si="4"/>
        <v>Incoming Transmission</v>
      </c>
      <c r="G40">
        <v>1</v>
      </c>
      <c r="J40" t="str">
        <f t="shared" si="5"/>
        <v>https://www.pojo.com/wp-content/uploads/2018/10/Incoming-Transmission-transformers.jpg</v>
      </c>
    </row>
    <row r="41" spans="1:10" x14ac:dyDescent="0.25">
      <c r="A41" s="1" t="s">
        <v>180</v>
      </c>
      <c r="B41" t="str">
        <f t="shared" si="0"/>
        <v>C040/081  Inspiring Leadership</v>
      </c>
      <c r="C41" t="str">
        <f t="shared" si="1"/>
        <v>C040</v>
      </c>
      <c r="D41" t="str">
        <f t="shared" si="2"/>
        <v>081  Inspiring Leadership</v>
      </c>
      <c r="E41" t="str">
        <f t="shared" si="3"/>
        <v>081</v>
      </c>
      <c r="F41" t="str">
        <f t="shared" si="4"/>
        <v>Inspiring Leadership</v>
      </c>
      <c r="H41">
        <v>1</v>
      </c>
      <c r="J41" t="str">
        <f t="shared" si="5"/>
        <v>https://www.pojo.com/wp-content/uploads/2018/10/Inspiring-Leadership-transformers.jpg</v>
      </c>
    </row>
    <row r="42" spans="1:10" x14ac:dyDescent="0.25">
      <c r="A42" s="1" t="s">
        <v>181</v>
      </c>
      <c r="B42" t="str">
        <f t="shared" si="0"/>
        <v>R041/081  Ion Blaster of Optimus Prime </v>
      </c>
      <c r="C42" t="str">
        <f t="shared" si="1"/>
        <v>R041</v>
      </c>
      <c r="D42" t="str">
        <f t="shared" si="2"/>
        <v>081  Ion Blaster of Optimus Prime </v>
      </c>
      <c r="E42" t="str">
        <f t="shared" si="3"/>
        <v>081</v>
      </c>
      <c r="F42" t="str">
        <f t="shared" si="4"/>
        <v>Ion Blaster of Optimus Prime </v>
      </c>
      <c r="H42">
        <v>1</v>
      </c>
      <c r="J42" t="str">
        <f t="shared" si="5"/>
        <v>https://www.pojo.com/wp-content/uploads/2018/10/Ion-Blaster-of-Optimus-Prime.jpg</v>
      </c>
    </row>
    <row r="43" spans="1:10" x14ac:dyDescent="0.25">
      <c r="A43" s="1" t="s">
        <v>182</v>
      </c>
      <c r="B43" t="str">
        <f t="shared" si="0"/>
        <v>R042/081  Jaws of Steel</v>
      </c>
      <c r="C43" t="str">
        <f t="shared" si="1"/>
        <v>R042</v>
      </c>
      <c r="D43" t="str">
        <f t="shared" si="2"/>
        <v>081  Jaws of Steel</v>
      </c>
      <c r="E43" t="str">
        <f t="shared" si="3"/>
        <v>081</v>
      </c>
      <c r="F43" t="str">
        <f t="shared" si="4"/>
        <v>Jaws of Steel</v>
      </c>
      <c r="G43">
        <v>1</v>
      </c>
      <c r="J43" t="str">
        <f t="shared" si="5"/>
        <v>https://www.pojo.com/wp-content/uploads/2018/10/Jaws-of-Steel-Transformers.jpg</v>
      </c>
    </row>
    <row r="44" spans="1:10" x14ac:dyDescent="0.25">
      <c r="A44" s="1" t="s">
        <v>183</v>
      </c>
      <c r="B44" t="str">
        <f t="shared" si="0"/>
        <v>U043/081  Leap Into Battle</v>
      </c>
      <c r="C44" t="str">
        <f t="shared" si="1"/>
        <v>U043</v>
      </c>
      <c r="D44" t="str">
        <f t="shared" si="2"/>
        <v>081  Leap Into Battle</v>
      </c>
      <c r="E44" t="str">
        <f t="shared" si="3"/>
        <v>081</v>
      </c>
      <c r="F44" t="str">
        <f t="shared" si="4"/>
        <v>Leap Into Battle</v>
      </c>
      <c r="H44">
        <v>1</v>
      </c>
      <c r="J44" t="str">
        <f t="shared" si="5"/>
        <v>https://www.pojo.com/wp-content/uploads/2018/08/c043-Leap-into-Battle.jpg</v>
      </c>
    </row>
    <row r="45" spans="1:10" x14ac:dyDescent="0.25">
      <c r="A45" s="1" t="s">
        <v>184</v>
      </c>
      <c r="B45" t="str">
        <f t="shared" si="0"/>
        <v>R044/081  Matrix of Leadership</v>
      </c>
      <c r="C45" t="str">
        <f t="shared" si="1"/>
        <v>R044</v>
      </c>
      <c r="D45" t="str">
        <f t="shared" si="2"/>
        <v>081  Matrix of Leadership</v>
      </c>
      <c r="E45" t="str">
        <f t="shared" si="3"/>
        <v>081</v>
      </c>
      <c r="F45" t="str">
        <f t="shared" si="4"/>
        <v>Matrix of Leadership</v>
      </c>
      <c r="G45">
        <v>1</v>
      </c>
      <c r="H45">
        <v>1</v>
      </c>
      <c r="J45" t="str">
        <f t="shared" si="5"/>
        <v>https://www.pojo.com/wp-content/uploads/2018/08/matrix-of-leadership.jpg</v>
      </c>
    </row>
    <row r="46" spans="1:10" x14ac:dyDescent="0.25">
      <c r="A46" s="1" t="s">
        <v>185</v>
      </c>
      <c r="B46" t="str">
        <f t="shared" si="0"/>
        <v>C045/081  Medic!</v>
      </c>
      <c r="C46" t="str">
        <f t="shared" si="1"/>
        <v>C045</v>
      </c>
      <c r="D46" t="str">
        <f t="shared" si="2"/>
        <v>081  Medic!</v>
      </c>
      <c r="E46" t="str">
        <f t="shared" si="3"/>
        <v>081</v>
      </c>
      <c r="F46" t="str">
        <f t="shared" si="4"/>
        <v>Medic!</v>
      </c>
      <c r="J46" t="str">
        <f t="shared" si="5"/>
        <v>https://www.pojo.com/wp-content/uploads/2018/09/medic-transformers-tcg-1.jpg</v>
      </c>
    </row>
    <row r="47" spans="1:10" x14ac:dyDescent="0.25">
      <c r="A47" s="1" t="s">
        <v>186</v>
      </c>
      <c r="B47" t="str">
        <f t="shared" si="0"/>
        <v>C046/081  Multi-Mission Gear</v>
      </c>
      <c r="C47" t="str">
        <f t="shared" si="1"/>
        <v>C046</v>
      </c>
      <c r="D47" t="str">
        <f t="shared" si="2"/>
        <v>081  Multi-Mission Gear</v>
      </c>
      <c r="E47" t="str">
        <f t="shared" si="3"/>
        <v>081</v>
      </c>
      <c r="F47" t="str">
        <f t="shared" si="4"/>
        <v>Multi-Mission Gear</v>
      </c>
      <c r="G47">
        <v>1</v>
      </c>
      <c r="J47" t="str">
        <f t="shared" si="5"/>
        <v>https://www.pojo.com/wp-content/uploads/2018/10/Multi-Mission-Gear.jpg</v>
      </c>
    </row>
    <row r="48" spans="1:10" x14ac:dyDescent="0.25">
      <c r="A48" s="1" t="s">
        <v>187</v>
      </c>
      <c r="B48" t="str">
        <f t="shared" si="0"/>
        <v>U047/081  Multi-Tool</v>
      </c>
      <c r="C48" t="str">
        <f t="shared" si="1"/>
        <v>U047</v>
      </c>
      <c r="D48" t="str">
        <f t="shared" si="2"/>
        <v>081  Multi-Tool</v>
      </c>
      <c r="E48" t="str">
        <f t="shared" si="3"/>
        <v>081</v>
      </c>
      <c r="F48" t="str">
        <f t="shared" si="4"/>
        <v>Multi-Tool</v>
      </c>
      <c r="H48">
        <v>1</v>
      </c>
      <c r="J48" t="str">
        <f t="shared" si="5"/>
        <v>https://www.pojo.com/wp-content/uploads/2018/10/Multi-Tool-transformers.png</v>
      </c>
    </row>
    <row r="49" spans="1:10" x14ac:dyDescent="0.25">
      <c r="A49" s="1" t="s">
        <v>188</v>
      </c>
      <c r="B49" t="str">
        <f t="shared" si="0"/>
        <v>U048/081  New Designs</v>
      </c>
      <c r="C49" t="str">
        <f t="shared" si="1"/>
        <v>U048</v>
      </c>
      <c r="D49" t="str">
        <f t="shared" si="2"/>
        <v>081  New Designs</v>
      </c>
      <c r="E49" t="str">
        <f t="shared" si="3"/>
        <v>081</v>
      </c>
      <c r="F49" t="str">
        <f t="shared" si="4"/>
        <v>New Designs</v>
      </c>
      <c r="G49">
        <v>1</v>
      </c>
      <c r="J49" t="str">
        <f t="shared" si="5"/>
        <v>https://www.pojo.com/wp-content/uploads/2018/10/New-Designs.jpg</v>
      </c>
    </row>
    <row r="50" spans="1:10" x14ac:dyDescent="0.25">
      <c r="A50" s="1" t="s">
        <v>189</v>
      </c>
      <c r="B50" t="str">
        <f t="shared" si="0"/>
        <v>C049/081  Null-Ray of Starscream</v>
      </c>
      <c r="C50" t="str">
        <f t="shared" si="1"/>
        <v>C049</v>
      </c>
      <c r="D50" t="str">
        <f t="shared" si="2"/>
        <v>081  Null-Ray of Starscream</v>
      </c>
      <c r="E50" t="str">
        <f t="shared" si="3"/>
        <v>081</v>
      </c>
      <c r="F50" t="str">
        <f t="shared" si="4"/>
        <v>Null-Ray of Starscream</v>
      </c>
      <c r="G50">
        <v>1</v>
      </c>
      <c r="J50" t="str">
        <f t="shared" si="5"/>
        <v>https://www.pojo.com/wp-content/uploads/2018/08/Null-Ray-of-Starscream.jpg</v>
      </c>
    </row>
    <row r="51" spans="1:10" x14ac:dyDescent="0.25">
      <c r="A51" s="1" t="s">
        <v>190</v>
      </c>
      <c r="B51" t="str">
        <f t="shared" si="0"/>
        <v>R050/081  One Shall Stand, One Shall Fall</v>
      </c>
      <c r="C51" t="str">
        <f t="shared" si="1"/>
        <v>R050</v>
      </c>
      <c r="D51" t="str">
        <f t="shared" si="2"/>
        <v>081  One Shall Stand, One Shall Fall</v>
      </c>
      <c r="E51" t="str">
        <f t="shared" si="3"/>
        <v>081</v>
      </c>
      <c r="F51" t="str">
        <f t="shared" si="4"/>
        <v>One Shall Stand, One Shall Fall</v>
      </c>
      <c r="J51" t="str">
        <f t="shared" si="5"/>
        <v>https://www.pojo.com/wp-content/uploads/2018/10/One-Shall-Stand-One-Shall-Fall.jpg</v>
      </c>
    </row>
    <row r="52" spans="1:10" x14ac:dyDescent="0.25">
      <c r="A52" s="1" t="s">
        <v>191</v>
      </c>
      <c r="B52" t="str">
        <f t="shared" si="0"/>
        <v>R051/081  Peace through Tyranny  </v>
      </c>
      <c r="C52" t="str">
        <f t="shared" si="1"/>
        <v>R051</v>
      </c>
      <c r="D52" t="str">
        <f t="shared" si="2"/>
        <v>081  Peace through Tyranny  </v>
      </c>
      <c r="E52" t="str">
        <f t="shared" si="3"/>
        <v>081</v>
      </c>
      <c r="F52" t="str">
        <f t="shared" si="4"/>
        <v>Peace through Tyranny  </v>
      </c>
      <c r="G52">
        <v>2</v>
      </c>
      <c r="J52" t="str">
        <f t="shared" si="5"/>
        <v>https://www.pojo.com/wp-content/uploads/2018/08/peace-through-tyranny.jpg</v>
      </c>
    </row>
    <row r="53" spans="1:10" x14ac:dyDescent="0.25">
      <c r="A53" s="1" t="s">
        <v>192</v>
      </c>
      <c r="B53" t="str">
        <f t="shared" si="0"/>
        <v>R052/081  Photon Bomb </v>
      </c>
      <c r="C53" t="str">
        <f t="shared" si="1"/>
        <v>R052</v>
      </c>
      <c r="D53" t="str">
        <f t="shared" si="2"/>
        <v>081  Photon Bomb </v>
      </c>
      <c r="E53" t="str">
        <f t="shared" si="3"/>
        <v>081</v>
      </c>
      <c r="F53" t="str">
        <f t="shared" si="4"/>
        <v>Photon Bomb </v>
      </c>
      <c r="J53" t="str">
        <f t="shared" si="5"/>
        <v>https://www.pojo.com/wp-content/uploads/2018/10/photon-bomb-transformers.jpg</v>
      </c>
    </row>
    <row r="54" spans="1:10" x14ac:dyDescent="0.25">
      <c r="A54" s="1" t="s">
        <v>193</v>
      </c>
      <c r="B54" t="str">
        <f t="shared" si="0"/>
        <v>R053/081  Piercing Blaster </v>
      </c>
      <c r="C54" t="str">
        <f t="shared" si="1"/>
        <v>R053</v>
      </c>
      <c r="D54" t="str">
        <f t="shared" si="2"/>
        <v>081  Piercing Blaster </v>
      </c>
      <c r="E54" t="str">
        <f t="shared" si="3"/>
        <v>081</v>
      </c>
      <c r="F54" t="str">
        <f t="shared" si="4"/>
        <v>Piercing Blaster </v>
      </c>
      <c r="I54">
        <v>1</v>
      </c>
      <c r="J54" t="str">
        <f t="shared" si="5"/>
        <v>https://www.pojo.com/wp-content/uploads/2018/10/Piercing-Blaster-Transformers.jpg</v>
      </c>
    </row>
    <row r="55" spans="1:10" x14ac:dyDescent="0.25">
      <c r="A55" s="1" t="s">
        <v>194</v>
      </c>
      <c r="B55" t="str">
        <f t="shared" si="0"/>
        <v>C054/081  Plasma Burst</v>
      </c>
      <c r="C55" t="str">
        <f t="shared" si="1"/>
        <v>C054</v>
      </c>
      <c r="D55" t="str">
        <f t="shared" si="2"/>
        <v>081  Plasma Burst</v>
      </c>
      <c r="E55" t="str">
        <f t="shared" si="3"/>
        <v>081</v>
      </c>
      <c r="F55" t="str">
        <f t="shared" si="4"/>
        <v>Plasma Burst</v>
      </c>
      <c r="J55" t="str">
        <f t="shared" si="5"/>
        <v>https://www.pojo.com/wp-content/uploads/2018/10/plasma-burst-transformers.jpg</v>
      </c>
    </row>
    <row r="56" spans="1:10" x14ac:dyDescent="0.25">
      <c r="A56" s="1" t="s">
        <v>195</v>
      </c>
      <c r="B56" t="str">
        <f t="shared" si="0"/>
        <v>U055/081  Power Sword</v>
      </c>
      <c r="C56" t="str">
        <f t="shared" si="1"/>
        <v>U055</v>
      </c>
      <c r="D56" t="str">
        <f t="shared" si="2"/>
        <v>081  Power Sword</v>
      </c>
      <c r="E56" t="str">
        <f t="shared" si="3"/>
        <v>081</v>
      </c>
      <c r="F56" t="str">
        <f t="shared" si="4"/>
        <v>Power Sword</v>
      </c>
      <c r="H56">
        <v>1</v>
      </c>
      <c r="J56" t="str">
        <f t="shared" si="5"/>
        <v>https://www.pojo.com/wp-content/uploads/2018/08/power-sword-u55.jpg</v>
      </c>
    </row>
    <row r="57" spans="1:10" x14ac:dyDescent="0.25">
      <c r="A57" s="1" t="s">
        <v>196</v>
      </c>
      <c r="B57" t="str">
        <f t="shared" si="0"/>
        <v>C056/081  Primary Laser</v>
      </c>
      <c r="C57" t="str">
        <f t="shared" si="1"/>
        <v>C056</v>
      </c>
      <c r="D57" t="str">
        <f t="shared" si="2"/>
        <v>081  Primary Laser</v>
      </c>
      <c r="E57" t="str">
        <f t="shared" si="3"/>
        <v>081</v>
      </c>
      <c r="F57" t="str">
        <f t="shared" si="4"/>
        <v>Primary Laser</v>
      </c>
      <c r="H57">
        <v>1</v>
      </c>
      <c r="J57" t="str">
        <f t="shared" si="5"/>
        <v>https://www.pojo.com/wp-content/uploads/2018/10/Primary-Laser-Transformers.jpg</v>
      </c>
    </row>
    <row r="58" spans="1:10" x14ac:dyDescent="0.25">
      <c r="A58" s="1" t="s">
        <v>197</v>
      </c>
      <c r="B58" t="str">
        <f t="shared" si="0"/>
        <v>C057/081  Ramming Speed</v>
      </c>
      <c r="C58" t="str">
        <f t="shared" si="1"/>
        <v>C057</v>
      </c>
      <c r="D58" t="str">
        <f t="shared" si="2"/>
        <v>081  Ramming Speed</v>
      </c>
      <c r="E58" t="str">
        <f t="shared" si="3"/>
        <v>081</v>
      </c>
      <c r="F58" t="str">
        <f t="shared" si="4"/>
        <v>Ramming Speed</v>
      </c>
      <c r="G58">
        <v>1</v>
      </c>
      <c r="J58" t="str">
        <f t="shared" si="5"/>
        <v>https://www.pojo.com/wp-content/uploads/2018/10/Ramming-Speed-Transformers.jpg</v>
      </c>
    </row>
    <row r="59" spans="1:10" x14ac:dyDescent="0.25">
      <c r="A59" s="1" t="s">
        <v>198</v>
      </c>
      <c r="B59" t="str">
        <f t="shared" si="0"/>
        <v>U058/081  Rapid Ascent</v>
      </c>
      <c r="C59" t="str">
        <f t="shared" si="1"/>
        <v>U058</v>
      </c>
      <c r="D59" t="str">
        <f t="shared" si="2"/>
        <v>081  Rapid Ascent</v>
      </c>
      <c r="E59" t="str">
        <f t="shared" si="3"/>
        <v>081</v>
      </c>
      <c r="F59" t="str">
        <f t="shared" si="4"/>
        <v>Rapid Ascent</v>
      </c>
      <c r="G59">
        <v>1</v>
      </c>
      <c r="J59" t="str">
        <f t="shared" si="5"/>
        <v>https://www.pojo.com/wp-content/uploads/2018/10/Rapid-Ascent-Transformers.jpg</v>
      </c>
    </row>
    <row r="60" spans="1:10" x14ac:dyDescent="0.25">
      <c r="A60" s="1" t="s">
        <v>199</v>
      </c>
      <c r="B60" t="str">
        <f t="shared" si="0"/>
        <v>C059/081  Rapid Conversion</v>
      </c>
      <c r="C60" t="str">
        <f t="shared" si="1"/>
        <v>C059</v>
      </c>
      <c r="D60" t="str">
        <f t="shared" si="2"/>
        <v>081  Rapid Conversion</v>
      </c>
      <c r="E60" t="str">
        <f t="shared" si="3"/>
        <v>081</v>
      </c>
      <c r="F60" t="str">
        <f t="shared" si="4"/>
        <v>Rapid Conversion</v>
      </c>
      <c r="I60">
        <v>1</v>
      </c>
      <c r="J60" t="str">
        <f t="shared" si="5"/>
        <v>https://www.pojo.com/wp-content/uploads/2018/10/Rapid-Conversion-Transformers.jpg</v>
      </c>
    </row>
    <row r="61" spans="1:10" x14ac:dyDescent="0.25">
      <c r="A61" s="1" t="s">
        <v>200</v>
      </c>
      <c r="B61" t="str">
        <f t="shared" si="0"/>
        <v>C060/081  Ready For Action</v>
      </c>
      <c r="C61" t="str">
        <f t="shared" si="1"/>
        <v>C060</v>
      </c>
      <c r="D61" t="str">
        <f t="shared" si="2"/>
        <v>081  Ready For Action</v>
      </c>
      <c r="E61" t="str">
        <f t="shared" si="3"/>
        <v>081</v>
      </c>
      <c r="F61" t="str">
        <f t="shared" si="4"/>
        <v>Ready For Action</v>
      </c>
      <c r="J61" t="str">
        <f t="shared" si="5"/>
        <v>https://www.pojo.com/wp-content/uploads/2018/10/Ready-For-Action-Transformers.jpg</v>
      </c>
    </row>
    <row r="62" spans="1:10" x14ac:dyDescent="0.25">
      <c r="A62" s="1" t="s">
        <v>201</v>
      </c>
      <c r="B62" t="str">
        <f t="shared" si="0"/>
        <v>C061/081  Reinforced Plating</v>
      </c>
      <c r="C62" t="str">
        <f t="shared" si="1"/>
        <v>C061</v>
      </c>
      <c r="D62" t="str">
        <f t="shared" si="2"/>
        <v>081  Reinforced Plating</v>
      </c>
      <c r="E62" t="str">
        <f t="shared" si="3"/>
        <v>081</v>
      </c>
      <c r="F62" t="str">
        <f t="shared" si="4"/>
        <v>Reinforced Plating</v>
      </c>
      <c r="H62">
        <v>1</v>
      </c>
      <c r="J62" t="str">
        <f t="shared" si="5"/>
        <v>https://www.pojo.com/wp-content/uploads/2018/10/Reinforced-Plating-Transformers.jpg</v>
      </c>
    </row>
    <row r="63" spans="1:10" x14ac:dyDescent="0.25">
      <c r="A63" s="1" t="s">
        <v>202</v>
      </c>
      <c r="B63" t="str">
        <f t="shared" si="0"/>
        <v>C062/081  Repair Bay</v>
      </c>
      <c r="C63" t="str">
        <f t="shared" si="1"/>
        <v>C062</v>
      </c>
      <c r="D63" t="str">
        <f t="shared" si="2"/>
        <v>081  Repair Bay</v>
      </c>
      <c r="E63" t="str">
        <f t="shared" si="3"/>
        <v>081</v>
      </c>
      <c r="F63" t="str">
        <f t="shared" si="4"/>
        <v>Repair Bay</v>
      </c>
      <c r="G63">
        <v>1</v>
      </c>
      <c r="J63" t="str">
        <f t="shared" si="5"/>
        <v>https://www.pojo.com/wp-content/uploads/2018/10/Repair-Bay-Transformers.jpg</v>
      </c>
    </row>
    <row r="64" spans="1:10" x14ac:dyDescent="0.25">
      <c r="A64" s="1" t="s">
        <v>203</v>
      </c>
      <c r="B64" t="str">
        <f t="shared" si="0"/>
        <v>R063/081  Roll Out!</v>
      </c>
      <c r="C64" t="str">
        <f t="shared" si="1"/>
        <v>R063</v>
      </c>
      <c r="D64" t="str">
        <f t="shared" si="2"/>
        <v>081  Roll Out!</v>
      </c>
      <c r="E64" t="str">
        <f t="shared" si="3"/>
        <v>081</v>
      </c>
      <c r="F64" t="str">
        <f t="shared" si="4"/>
        <v>Roll Out!</v>
      </c>
      <c r="G64">
        <v>1</v>
      </c>
      <c r="H64">
        <v>1</v>
      </c>
      <c r="J64" t="str">
        <f t="shared" si="5"/>
        <v>https://www.pojo.com/wp-content/uploads/2018/10/roll-out-transformers-tcg.jpg</v>
      </c>
    </row>
    <row r="65" spans="1:10" x14ac:dyDescent="0.25">
      <c r="A65" s="1" t="s">
        <v>204</v>
      </c>
      <c r="B65" t="str">
        <f t="shared" si="0"/>
        <v>R064/081  Salvage for Parts</v>
      </c>
      <c r="C65" t="str">
        <f t="shared" si="1"/>
        <v>R064</v>
      </c>
      <c r="D65" t="str">
        <f t="shared" si="2"/>
        <v>081  Salvage for Parts</v>
      </c>
      <c r="E65" t="str">
        <f t="shared" si="3"/>
        <v>081</v>
      </c>
      <c r="F65" t="str">
        <f t="shared" si="4"/>
        <v>Salvage for Parts</v>
      </c>
      <c r="J65" t="str">
        <f t="shared" si="5"/>
        <v>https://www.pojo.com/wp-content/uploads/2018/10/Salvage-for-Parts-tranformers-tcg.jpg</v>
      </c>
    </row>
    <row r="66" spans="1:10" x14ac:dyDescent="0.25">
      <c r="A66" s="1" t="s">
        <v>205</v>
      </c>
      <c r="B66" t="str">
        <f t="shared" si="0"/>
        <v>C065/081  Scrapper Gauntlets</v>
      </c>
      <c r="C66" t="str">
        <f t="shared" si="1"/>
        <v>C065</v>
      </c>
      <c r="D66" t="str">
        <f t="shared" si="2"/>
        <v>081  Scrapper Gauntlets</v>
      </c>
      <c r="E66" t="str">
        <f t="shared" si="3"/>
        <v>081</v>
      </c>
      <c r="F66" t="str">
        <f t="shared" si="4"/>
        <v>Scrapper Gauntlets</v>
      </c>
      <c r="G66">
        <v>1</v>
      </c>
      <c r="J66" t="str">
        <f t="shared" si="5"/>
        <v>https://www.pojo.com/wp-content/uploads/2018/09/scrapper-gauntlets-1.jpg</v>
      </c>
    </row>
    <row r="67" spans="1:10" x14ac:dyDescent="0.25">
      <c r="A67" s="1" t="s">
        <v>206</v>
      </c>
      <c r="B67" t="str">
        <f t="shared" ref="B67:B84" si="6">SUBSTITUTE(A67, "–", "", 1)</f>
        <v>R066/081  Security Checkpoint</v>
      </c>
      <c r="C67" t="str">
        <f t="shared" ref="C67:C84" si="7">LEFT(B67, (FIND("/", B67) - 1))</f>
        <v>R066</v>
      </c>
      <c r="D67" t="str">
        <f t="shared" ref="D67:D84" si="8">RIGHT(B67, (LEN(B67) - FIND("/", B67)))</f>
        <v>081  Security Checkpoint</v>
      </c>
      <c r="E67" t="str">
        <f t="shared" ref="E67:E84" si="9">LEFT(D67, 3)</f>
        <v>081</v>
      </c>
      <c r="F67" t="str">
        <f t="shared" ref="F67:F84" si="10">RIGHT(D67, (LEN(D67) - 5))</f>
        <v>Security Checkpoint</v>
      </c>
      <c r="H67">
        <v>2</v>
      </c>
      <c r="J67" t="str">
        <f t="shared" ref="J67:J84" si="11">getURL(A67)</f>
        <v>https://www.pojo.com/wp-content/uploads/2018/10/Security-Checkpoint-transformers.jpg</v>
      </c>
    </row>
    <row r="68" spans="1:10" x14ac:dyDescent="0.25">
      <c r="A68" s="1" t="s">
        <v>207</v>
      </c>
      <c r="B68" t="str">
        <f t="shared" si="6"/>
        <v>R067/081  Shock Absorbers</v>
      </c>
      <c r="C68" t="str">
        <f t="shared" si="7"/>
        <v>R067</v>
      </c>
      <c r="D68" t="str">
        <f t="shared" si="8"/>
        <v>081  Shock Absorbers</v>
      </c>
      <c r="E68" t="str">
        <f t="shared" si="9"/>
        <v>081</v>
      </c>
      <c r="F68" t="str">
        <f t="shared" si="10"/>
        <v>Shock Absorbers</v>
      </c>
      <c r="G68">
        <v>1</v>
      </c>
      <c r="J68" t="str">
        <f t="shared" si="11"/>
        <v>https://www.pojo.com/wp-content/uploads/2018/10/Shock-Absorbersn-transformers.jpg</v>
      </c>
    </row>
    <row r="69" spans="1:10" x14ac:dyDescent="0.25">
      <c r="A69" s="1" t="s">
        <v>208</v>
      </c>
      <c r="B69" t="str">
        <f t="shared" si="6"/>
        <v>R068/081  Start Your Engines</v>
      </c>
      <c r="C69" t="str">
        <f t="shared" si="7"/>
        <v>R068</v>
      </c>
      <c r="D69" t="str">
        <f t="shared" si="8"/>
        <v>081  Start Your Engines</v>
      </c>
      <c r="E69" t="str">
        <f t="shared" si="9"/>
        <v>081</v>
      </c>
      <c r="F69" t="str">
        <f t="shared" si="10"/>
        <v>Start Your Engines</v>
      </c>
      <c r="H69">
        <v>1</v>
      </c>
      <c r="J69" t="str">
        <f t="shared" si="11"/>
        <v>https://www.pojo.com/wp-content/uploads/2018/09/Start-Your-Engines-Transformers.jpg</v>
      </c>
    </row>
    <row r="70" spans="1:10" x14ac:dyDescent="0.25">
      <c r="A70" s="1" t="s">
        <v>209</v>
      </c>
      <c r="B70" t="str">
        <f t="shared" si="6"/>
        <v>R069/081  Static Laser of Ironhide</v>
      </c>
      <c r="C70" t="str">
        <f t="shared" si="7"/>
        <v>R069</v>
      </c>
      <c r="D70" t="str">
        <f t="shared" si="8"/>
        <v>081  Static Laser of Ironhide</v>
      </c>
      <c r="E70" t="str">
        <f t="shared" si="9"/>
        <v>081</v>
      </c>
      <c r="F70" t="str">
        <f t="shared" si="10"/>
        <v>Static Laser of Ironhide</v>
      </c>
      <c r="J70" t="str">
        <f t="shared" si="11"/>
        <v>https://www.pojo.com/wp-content/uploads/2018/09/static-laser-of-ironhide-transformers-tcg.jpg</v>
      </c>
    </row>
    <row r="71" spans="1:10" x14ac:dyDescent="0.25">
      <c r="A71" s="1" t="s">
        <v>210</v>
      </c>
      <c r="B71" t="str">
        <f t="shared" si="6"/>
        <v>U070/081  Strafing Run</v>
      </c>
      <c r="C71" t="str">
        <f t="shared" si="7"/>
        <v>U070</v>
      </c>
      <c r="D71" t="str">
        <f t="shared" si="8"/>
        <v>081  Strafing Run</v>
      </c>
      <c r="E71" t="str">
        <f t="shared" si="9"/>
        <v>081</v>
      </c>
      <c r="F71" t="str">
        <f t="shared" si="10"/>
        <v>Strafing Run</v>
      </c>
      <c r="G71">
        <v>1</v>
      </c>
      <c r="J71" t="str">
        <f t="shared" si="11"/>
        <v>https://www.pojo.com/wp-content/uploads/2018/10/Strafing-Run-transformers.jpg</v>
      </c>
    </row>
    <row r="72" spans="1:10" x14ac:dyDescent="0.25">
      <c r="A72" s="1" t="s">
        <v>211</v>
      </c>
      <c r="B72" t="str">
        <f t="shared" si="6"/>
        <v>C071/081  Supercharge</v>
      </c>
      <c r="C72" t="str">
        <f t="shared" si="7"/>
        <v>C071</v>
      </c>
      <c r="D72" t="str">
        <f t="shared" si="8"/>
        <v>081  Supercharge</v>
      </c>
      <c r="E72" t="str">
        <f t="shared" si="9"/>
        <v>081</v>
      </c>
      <c r="F72" t="str">
        <f t="shared" si="10"/>
        <v>Supercharge</v>
      </c>
      <c r="G72">
        <v>1</v>
      </c>
      <c r="J72" t="str">
        <f t="shared" si="11"/>
        <v>https://www.pojo.com/wp-content/uploads/2018/10/Supercharge-Transformers.jpg</v>
      </c>
    </row>
    <row r="73" spans="1:10" x14ac:dyDescent="0.25">
      <c r="A73" s="1" t="s">
        <v>212</v>
      </c>
      <c r="B73" t="str">
        <f t="shared" si="6"/>
        <v>U072/081  Swap Missions</v>
      </c>
      <c r="C73" t="str">
        <f t="shared" si="7"/>
        <v>U072</v>
      </c>
      <c r="D73" t="str">
        <f t="shared" si="8"/>
        <v>081  Swap Missions</v>
      </c>
      <c r="E73" t="str">
        <f t="shared" si="9"/>
        <v>081</v>
      </c>
      <c r="F73" t="str">
        <f t="shared" si="10"/>
        <v>Swap Missions</v>
      </c>
      <c r="H73">
        <v>1</v>
      </c>
      <c r="J73" t="str">
        <f t="shared" si="11"/>
        <v>https://www.pojo.com/wp-content/uploads/2018/10/Swap-Missions-transformers.jpg</v>
      </c>
    </row>
    <row r="74" spans="1:10" x14ac:dyDescent="0.25">
      <c r="A74" s="1" t="s">
        <v>213</v>
      </c>
      <c r="B74" t="str">
        <f t="shared" si="6"/>
        <v>C073/081  Swap Parts</v>
      </c>
      <c r="C74" t="str">
        <f t="shared" si="7"/>
        <v>C073</v>
      </c>
      <c r="D74" t="str">
        <f t="shared" si="8"/>
        <v>081  Swap Parts</v>
      </c>
      <c r="E74" t="str">
        <f t="shared" si="9"/>
        <v>081</v>
      </c>
      <c r="F74" t="str">
        <f t="shared" si="10"/>
        <v>Swap Parts</v>
      </c>
      <c r="I74">
        <v>1</v>
      </c>
      <c r="J74" t="str">
        <f t="shared" si="11"/>
        <v>https://www.pojo.com/wp-content/uploads/2018/10/Swap-Parts-Transformers-TCG.jpg</v>
      </c>
    </row>
    <row r="75" spans="1:10" x14ac:dyDescent="0.25">
      <c r="A75" s="1" t="s">
        <v>214</v>
      </c>
      <c r="B75" t="str">
        <f t="shared" si="6"/>
        <v>R074/081  Swarm!</v>
      </c>
      <c r="C75" t="str">
        <f t="shared" si="7"/>
        <v>R074</v>
      </c>
      <c r="D75" t="str">
        <f t="shared" si="8"/>
        <v>081  Swarm!</v>
      </c>
      <c r="E75" t="str">
        <f t="shared" si="9"/>
        <v>081</v>
      </c>
      <c r="F75" t="str">
        <f t="shared" si="10"/>
        <v>Swarm!</v>
      </c>
      <c r="G75">
        <v>1</v>
      </c>
      <c r="J75" t="str">
        <f t="shared" si="11"/>
        <v>https://www.pojo.com/wp-content/uploads/2018/10/swarm-transformers.jpg</v>
      </c>
    </row>
    <row r="76" spans="1:10" x14ac:dyDescent="0.25">
      <c r="A76" s="1" t="s">
        <v>215</v>
      </c>
      <c r="B76" t="str">
        <f t="shared" si="6"/>
        <v>R075/081  System Reboot</v>
      </c>
      <c r="C76" t="str">
        <f t="shared" si="7"/>
        <v>R075</v>
      </c>
      <c r="D76" t="str">
        <f t="shared" si="8"/>
        <v>081  System Reboot</v>
      </c>
      <c r="E76" t="str">
        <f t="shared" si="9"/>
        <v>081</v>
      </c>
      <c r="F76" t="str">
        <f t="shared" si="10"/>
        <v>System Reboot</v>
      </c>
      <c r="I76">
        <v>1</v>
      </c>
      <c r="J76" t="str">
        <f t="shared" si="11"/>
        <v>https://www.pojo.com/wp-content/uploads/2018/10/System-Reboot-Transformers.jpg</v>
      </c>
    </row>
    <row r="77" spans="1:10" x14ac:dyDescent="0.25">
      <c r="A77" s="1" t="s">
        <v>216</v>
      </c>
      <c r="B77" t="str">
        <f t="shared" si="6"/>
        <v>R076/081  Team-Up Tactics</v>
      </c>
      <c r="C77" t="str">
        <f t="shared" si="7"/>
        <v>R076</v>
      </c>
      <c r="D77" t="str">
        <f t="shared" si="8"/>
        <v>081  Team-Up Tactics</v>
      </c>
      <c r="E77" t="str">
        <f t="shared" si="9"/>
        <v>081</v>
      </c>
      <c r="F77" t="str">
        <f t="shared" si="10"/>
        <v>Team-Up Tactics</v>
      </c>
      <c r="H77">
        <v>1</v>
      </c>
      <c r="J77" t="str">
        <f t="shared" si="11"/>
        <v>https://www.pojo.com/wp-content/uploads/2018/10/Team-Up-Tactics-Transformers.jpg</v>
      </c>
    </row>
    <row r="78" spans="1:10" x14ac:dyDescent="0.25">
      <c r="A78" s="1" t="s">
        <v>217</v>
      </c>
      <c r="B78" t="str">
        <f t="shared" si="6"/>
        <v>R077/081  The Bigger They Are</v>
      </c>
      <c r="C78" t="str">
        <f t="shared" si="7"/>
        <v>R077</v>
      </c>
      <c r="D78" t="str">
        <f t="shared" si="8"/>
        <v>081  The Bigger They Are</v>
      </c>
      <c r="E78" t="str">
        <f t="shared" si="9"/>
        <v>081</v>
      </c>
      <c r="F78" t="str">
        <f t="shared" si="10"/>
        <v>The Bigger They Are</v>
      </c>
      <c r="H78">
        <v>1</v>
      </c>
      <c r="J78" t="str">
        <f t="shared" si="11"/>
        <v>https://www.pojo.com/wp-content/uploads/2018/10/The-Bigger-They-Are-Transformers.jpg</v>
      </c>
    </row>
    <row r="79" spans="1:10" x14ac:dyDescent="0.25">
      <c r="A79" s="1" t="s">
        <v>218</v>
      </c>
      <c r="B79" t="str">
        <f t="shared" si="6"/>
        <v>R078/081  Thermal Weaponry</v>
      </c>
      <c r="C79" t="str">
        <f t="shared" si="7"/>
        <v>R078</v>
      </c>
      <c r="D79" t="str">
        <f t="shared" si="8"/>
        <v>081  Thermal Weaponry</v>
      </c>
      <c r="E79" t="str">
        <f t="shared" si="9"/>
        <v>081</v>
      </c>
      <c r="F79" t="str">
        <f t="shared" si="10"/>
        <v>Thermal Weaponry</v>
      </c>
      <c r="G79">
        <v>1</v>
      </c>
      <c r="J79" t="str">
        <f t="shared" si="11"/>
        <v>https://www.pojo.com/wp-content/uploads/2018/10/Thermal-Weaponry-Transformers.jpg</v>
      </c>
    </row>
    <row r="80" spans="1:10" x14ac:dyDescent="0.25">
      <c r="A80" s="1" t="s">
        <v>219</v>
      </c>
      <c r="B80" t="str">
        <f t="shared" si="6"/>
        <v>U079/081  Treasure Hunt</v>
      </c>
      <c r="C80" t="str">
        <f t="shared" si="7"/>
        <v>U079</v>
      </c>
      <c r="D80" t="str">
        <f t="shared" si="8"/>
        <v>081  Treasure Hunt</v>
      </c>
      <c r="E80" t="str">
        <f t="shared" si="9"/>
        <v>081</v>
      </c>
      <c r="F80" t="str">
        <f t="shared" si="10"/>
        <v>Treasure Hunt</v>
      </c>
      <c r="G80">
        <v>1</v>
      </c>
      <c r="J80" t="str">
        <f t="shared" si="11"/>
        <v>https://www.pojo.com/wp-content/uploads/2018/10/Treasure-Hunt-Transformers.jpg</v>
      </c>
    </row>
    <row r="81" spans="1:10" x14ac:dyDescent="0.25">
      <c r="A81" s="1" t="s">
        <v>220</v>
      </c>
      <c r="B81" t="str">
        <f t="shared" si="6"/>
        <v>U080/081  Turbo Boosters</v>
      </c>
      <c r="C81" t="str">
        <f t="shared" si="7"/>
        <v>U080</v>
      </c>
      <c r="D81" t="str">
        <f t="shared" si="8"/>
        <v>081  Turbo Boosters</v>
      </c>
      <c r="E81" t="str">
        <f t="shared" si="9"/>
        <v>081</v>
      </c>
      <c r="F81" t="str">
        <f t="shared" si="10"/>
        <v>Turbo Boosters</v>
      </c>
      <c r="G81">
        <v>1</v>
      </c>
      <c r="J81" t="str">
        <f t="shared" si="11"/>
        <v>https://www.pojo.com/wp-content/uploads/2018/08/turbo-boosters.jpg</v>
      </c>
    </row>
    <row r="82" spans="1:10" x14ac:dyDescent="0.25">
      <c r="A82" s="1" t="s">
        <v>221</v>
      </c>
      <c r="B82" t="str">
        <f t="shared" si="6"/>
        <v>C081/081  Zap</v>
      </c>
      <c r="C82" t="str">
        <f t="shared" si="7"/>
        <v>C081</v>
      </c>
      <c r="D82" t="str">
        <f t="shared" si="8"/>
        <v>081  Zap</v>
      </c>
      <c r="E82" t="str">
        <f t="shared" si="9"/>
        <v>081</v>
      </c>
      <c r="F82" t="str">
        <f t="shared" si="10"/>
        <v>Zap</v>
      </c>
      <c r="G82">
        <v>1</v>
      </c>
      <c r="J82" t="str">
        <f t="shared" si="11"/>
        <v>https://www.pojo.com/wp-content/uploads/2018/09/zap-transformers-tcg-1.jpg</v>
      </c>
    </row>
    <row r="83" spans="1:10" x14ac:dyDescent="0.25">
      <c r="A83" s="1" t="s">
        <v>222</v>
      </c>
      <c r="B83" t="str">
        <f t="shared" si="6"/>
        <v>R001/002  All Out Attack</v>
      </c>
      <c r="C83" t="str">
        <f t="shared" si="7"/>
        <v>R001</v>
      </c>
      <c r="D83" t="str">
        <f t="shared" si="8"/>
        <v>002  All Out Attack</v>
      </c>
      <c r="E83" t="str">
        <f t="shared" si="9"/>
        <v>002</v>
      </c>
      <c r="F83" t="str">
        <f t="shared" si="10"/>
        <v>All Out Attack</v>
      </c>
      <c r="G83">
        <v>1</v>
      </c>
      <c r="J83" t="str">
        <f t="shared" si="11"/>
        <v>https://www.pojo.com/wp-content/uploads/2018/09/all-out-attack-transformers.jpg</v>
      </c>
    </row>
    <row r="84" spans="1:10" x14ac:dyDescent="0.25">
      <c r="A84" s="1" t="s">
        <v>223</v>
      </c>
      <c r="B84" t="str">
        <f t="shared" si="6"/>
        <v>R002/002  Tandem Targeting System</v>
      </c>
      <c r="C84" t="str">
        <f t="shared" si="7"/>
        <v>R002</v>
      </c>
      <c r="D84" t="str">
        <f t="shared" si="8"/>
        <v>002  Tandem Targeting System</v>
      </c>
      <c r="E84" t="str">
        <f t="shared" si="9"/>
        <v>002</v>
      </c>
      <c r="F84" t="str">
        <f t="shared" si="10"/>
        <v>Tandem Targeting System</v>
      </c>
      <c r="G84">
        <v>1</v>
      </c>
      <c r="J84" t="str">
        <f t="shared" si="11"/>
        <v>https://www.pojo.com/wp-content/uploads/2018/10/tandem-targeting-system-1.jpg</v>
      </c>
    </row>
  </sheetData>
  <hyperlinks>
    <hyperlink ref="A2" r:id="rId1" display="https://www.pojo.com/wp-content/uploads/2018/08/aerial-recon-transformers.jpg"/>
    <hyperlink ref="A3" r:id="rId2" display="https://www.pojo.com/wp-content/uploads/2018/10/agility-of-bumblebee.jpg"/>
    <hyperlink ref="A4" r:id="rId3" display="https://www.pojo.com/wp-content/uploads/2018/10/armored-hovercraft.jpg"/>
    <hyperlink ref="A5" r:id="rId4" display="https://www.pojo.com/wp-content/uploads/2018/09/armored-plating-transformers-tcg.jpg"/>
    <hyperlink ref="A6" r:id="rId5" display="https://www.pojo.com/wp-content/uploads/2018/10/Backup-Plan.jpg"/>
    <hyperlink ref="A7" r:id="rId6" display="https://www.pojo.com/wp-content/uploads/2018/10/Battle-Ready.jpg"/>
    <hyperlink ref="A8" r:id="rId7" display="https://www.pojo.com/wp-content/uploads/2018/10/Blast-Shield-Transformers.jpg"/>
    <hyperlink ref="A9" r:id="rId8" display="https://www.pojo.com/wp-content/uploads/2018/09/body-armor-transformers-tcg-1.jpg"/>
    <hyperlink ref="A10" r:id="rId9" display="https://www.pojo.com/wp-content/uploads/2018/08/Bombing-Run.jpg"/>
    <hyperlink ref="A11" r:id="rId10" display="https://www.pojo.com/wp-content/uploads/2018/10/Brainstorm.jpg"/>
    <hyperlink ref="A12" r:id="rId11" display="https://www.pojo.com/wp-content/uploads/2018/09/bug-bomb-transformers-tcg.jpg"/>
    <hyperlink ref="A13" r:id="rId12" display="https://www.pojo.com/wp-content/uploads/2018/10/Cargo-Trailer-Transformers.jpg"/>
    <hyperlink ref="A14" r:id="rId13" display="https://www.pojo.com/wp-content/uploads/2018/10/Collateral-Damage-Transformers.jpg"/>
    <hyperlink ref="A15" r:id="rId14" display="https://www.pojo.com/wp-content/uploads/2018/10/Combat-Training-Transformers.jpg"/>
    <hyperlink ref="A16" r:id="rId15" display="https://www.pojo.com/wp-content/uploads/2018/10/Computer-Sabotage-Transformers-TCG.jpg"/>
    <hyperlink ref="A17" r:id="rId16" display="https://www.pojo.com/wp-content/uploads/2018/10/Crushing-Size-Transformers.jpg"/>
    <hyperlink ref="A18" r:id="rId17" display="https://www.pojo.com/wp-content/uploads/2018/09/crushing-treads-transformers-tcg.jpg"/>
    <hyperlink ref="A19" r:id="rId18" display="https://www.pojo.com/wp-content/uploads/2018/10/Cybertonium-Bow.jpg"/>
    <hyperlink ref="A20" r:id="rId19" display="https://www.pojo.com/wp-content/uploads/2018/09/data-bank-transformers-tcg.jpg"/>
    <hyperlink ref="A21" r:id="rId20" display="https://www.pojo.com/wp-content/uploads/2018/09/data-pad-transformers-tcg.jpg"/>
    <hyperlink ref="A22" r:id="rId21" display="https://www.pojo.com/wp-content/uploads/2018/10/Debilitating-Crystal-Transformers.jpg"/>
    <hyperlink ref="A23" r:id="rId22" display="https://www.pojo.com/wp-content/uploads/2018/10/dino-chomp-transformers.jpg"/>
    <hyperlink ref="A24" r:id="rId23" display="https://www.pojo.com/wp-content/uploads/2018/10/disarm-transformers.jpg"/>
    <hyperlink ref="A25" r:id="rId24" display="https://www.pojo.com/wp-content/uploads/2018/10/disruption-transformers.jpg"/>
    <hyperlink ref="A26" r:id="rId25" display="https://www.pojo.com/wp-content/uploads/2018/10/Disruptive-Entrance-transformers.jpg"/>
    <hyperlink ref="A27" r:id="rId26" display="https://www.pojo.com/wp-content/uploads/2018/09/drill-arm-transformers-tcg-1.jpg"/>
    <hyperlink ref="A28" r:id="rId27" display="https://www.pojo.com/wp-content/uploads/2018/10/Emergency-Maintenance.jpg"/>
    <hyperlink ref="A29" r:id="rId28" display="https://www.pojo.com/wp-content/uploads/2018/10/Energon-Axe.jpg"/>
    <hyperlink ref="A30" r:id="rId29" display="https://www.pojo.com/wp-content/uploads/2018/09/equipment-enthusiast-transformers-tcg-1.jpg"/>
    <hyperlink ref="A31" r:id="rId30" display="https://www.pojo.com/wp-content/uploads/2018/10/Flamerthrower-Transformers.jpg"/>
    <hyperlink ref="A32" r:id="rId31" display="https://www.pojo.com/wp-content/uploads/2018/10/Force-field-Transformers.jpg"/>
    <hyperlink ref="A33" r:id="rId32" display="https://www.pojo.com/wp-content/uploads/2018/10/Fusion-Cannon-of-Megatron.jpg"/>
    <hyperlink ref="A34" r:id="rId33" display="https://www.pojo.com/wp-content/uploads/2018/08/grenade-launcher-transformers.jpg"/>
    <hyperlink ref="A35" r:id="rId34" display="https://www.pojo.com/wp-content/uploads/2018/10/Handheld-Blaster.jpg"/>
    <hyperlink ref="A36" r:id="rId35" display="https://www.pojo.com/wp-content/uploads/2018/10/Heroism.jpg"/>
    <hyperlink ref="A37" r:id="rId36" display="https://www.pojo.com/wp-content/uploads/2018/08/Hunker-Down-Transformers-TCG.jpg"/>
    <hyperlink ref="A38" r:id="rId37" display="https://www.pojo.com/wp-content/uploads/2018/09/i-still-funtion-transformers-tcg.jpg"/>
    <hyperlink ref="A39" r:id="rId38" display="https://www.pojo.com/wp-content/uploads/2018/10/Improvised-Shield.jpg"/>
    <hyperlink ref="A40" r:id="rId39" display="https://www.pojo.com/wp-content/uploads/2018/10/Incoming-Transmission-transformers.jpg"/>
    <hyperlink ref="A41" r:id="rId40" display="https://www.pojo.com/wp-content/uploads/2018/10/Inspiring-Leadership-transformers.jpg"/>
    <hyperlink ref="A42" r:id="rId41" display="https://www.pojo.com/wp-content/uploads/2018/10/Ion-Blaster-of-Optimus-Prime.jpg"/>
    <hyperlink ref="A43" r:id="rId42" display="https://www.pojo.com/wp-content/uploads/2018/10/Jaws-of-Steel-Transformers.jpg"/>
    <hyperlink ref="A44" r:id="rId43" display="https://www.pojo.com/wp-content/uploads/2018/08/c043-Leap-into-Battle.jpg"/>
    <hyperlink ref="A45" r:id="rId44" display="https://www.pojo.com/wp-content/uploads/2018/08/matrix-of-leadership.jpg"/>
    <hyperlink ref="A46" r:id="rId45" display="https://www.pojo.com/wp-content/uploads/2018/09/medic-transformers-tcg-1.jpg"/>
    <hyperlink ref="A47" r:id="rId46" display="https://www.pojo.com/wp-content/uploads/2018/10/Multi-Mission-Gear.jpg"/>
    <hyperlink ref="A48" r:id="rId47" display="https://www.pojo.com/wp-content/uploads/2018/10/Multi-Tool-transformers.png"/>
    <hyperlink ref="A49" r:id="rId48" display="https://www.pojo.com/wp-content/uploads/2018/10/New-Designs.jpg"/>
    <hyperlink ref="A50" r:id="rId49" display="https://www.pojo.com/wp-content/uploads/2018/08/Null-Ray-of-Starscream.jpg"/>
    <hyperlink ref="A51" r:id="rId50" display="https://www.pojo.com/wp-content/uploads/2018/10/One-Shall-Stand-One-Shall-Fall.jpg"/>
    <hyperlink ref="A52" r:id="rId51" display="https://www.pojo.com/wp-content/uploads/2018/08/peace-through-tyranny.jpg"/>
    <hyperlink ref="A53" r:id="rId52" display="https://www.pojo.com/wp-content/uploads/2018/10/photon-bomb-transformers.jpg"/>
    <hyperlink ref="A54" r:id="rId53" display="https://www.pojo.com/wp-content/uploads/2018/10/Piercing-Blaster-Transformers.jpg"/>
    <hyperlink ref="A55" r:id="rId54" display="https://www.pojo.com/wp-content/uploads/2018/10/plasma-burst-transformers.jpg"/>
    <hyperlink ref="A56" r:id="rId55" display="https://www.pojo.com/wp-content/uploads/2018/08/power-sword-u55.jpg"/>
    <hyperlink ref="A57" r:id="rId56" display="https://www.pojo.com/wp-content/uploads/2018/10/Primary-Laser-Transformers.jpg"/>
    <hyperlink ref="A58" r:id="rId57" display="https://www.pojo.com/wp-content/uploads/2018/10/Ramming-Speed-Transformers.jpg"/>
    <hyperlink ref="A59" r:id="rId58" display="https://www.pojo.com/wp-content/uploads/2018/10/Rapid-Ascent-Transformers.jpg"/>
    <hyperlink ref="A60" r:id="rId59" display="https://www.pojo.com/wp-content/uploads/2018/10/Rapid-Conversion-Transformers.jpg"/>
    <hyperlink ref="A61" r:id="rId60" display="https://www.pojo.com/wp-content/uploads/2018/10/Ready-For-Action-Transformers.jpg"/>
    <hyperlink ref="A62" r:id="rId61" display="https://www.pojo.com/wp-content/uploads/2018/10/Reinforced-Plating-Transformers.jpg"/>
    <hyperlink ref="A63" r:id="rId62" display="https://www.pojo.com/wp-content/uploads/2018/10/Repair-Bay-Transformers.jpg"/>
    <hyperlink ref="A64" r:id="rId63" display="https://www.pojo.com/wp-content/uploads/2018/10/roll-out-transformers-tcg.jpg"/>
    <hyperlink ref="A65" r:id="rId64" display="https://www.pojo.com/wp-content/uploads/2018/10/Salvage-for-Parts-tranformers-tcg.jpg"/>
    <hyperlink ref="A66" r:id="rId65" display="https://www.pojo.com/wp-content/uploads/2018/09/scrapper-gauntlets-1.jpg"/>
    <hyperlink ref="A67" r:id="rId66" display="https://www.pojo.com/wp-content/uploads/2018/10/Security-Checkpoint-transformers.jpg"/>
    <hyperlink ref="A68" r:id="rId67" display="https://www.pojo.com/wp-content/uploads/2018/10/Shock-Absorbersn-transformers.jpg"/>
    <hyperlink ref="A69" r:id="rId68" display="https://www.pojo.com/wp-content/uploads/2018/09/Start-Your-Engines-Transformers.jpg"/>
    <hyperlink ref="A70" r:id="rId69" display="https://www.pojo.com/wp-content/uploads/2018/09/static-laser-of-ironhide-transformers-tcg.jpg"/>
    <hyperlink ref="A71" r:id="rId70" display="https://www.pojo.com/wp-content/uploads/2018/10/Strafing-Run-transformers.jpg"/>
    <hyperlink ref="A72" r:id="rId71" display="https://www.pojo.com/wp-content/uploads/2018/10/Supercharge-Transformers.jpg"/>
    <hyperlink ref="A73" r:id="rId72" display="https://www.pojo.com/wp-content/uploads/2018/10/Swap-Missions-transformers.jpg"/>
    <hyperlink ref="A74" r:id="rId73" display="https://www.pojo.com/wp-content/uploads/2018/10/Swap-Parts-Transformers-TCG.jpg"/>
    <hyperlink ref="A75" r:id="rId74" display="https://www.pojo.com/wp-content/uploads/2018/10/swarm-transformers.jpg"/>
    <hyperlink ref="A76" r:id="rId75" display="https://www.pojo.com/wp-content/uploads/2018/10/System-Reboot-Transformers.jpg"/>
    <hyperlink ref="A77" r:id="rId76" display="https://www.pojo.com/wp-content/uploads/2018/10/Team-Up-Tactics-Transformers.jpg"/>
    <hyperlink ref="A78" r:id="rId77" display="https://www.pojo.com/wp-content/uploads/2018/10/The-Bigger-They-Are-Transformers.jpg"/>
    <hyperlink ref="A79" r:id="rId78" display="https://www.pojo.com/wp-content/uploads/2018/10/Thermal-Weaponry-Transformers.jpg"/>
    <hyperlink ref="A80" r:id="rId79" display="https://www.pojo.com/wp-content/uploads/2018/10/Treasure-Hunt-Transformers.jpg"/>
    <hyperlink ref="A81" r:id="rId80" display="https://www.pojo.com/wp-content/uploads/2018/08/turbo-boosters.jpg"/>
    <hyperlink ref="A82" r:id="rId81" display="https://www.pojo.com/wp-content/uploads/2018/09/zap-transformers-tcg-1.jpg"/>
    <hyperlink ref="A83" r:id="rId82" display="https://www.pojo.com/wp-content/uploads/2018/09/all-out-attack-transformers.jpg"/>
    <hyperlink ref="A84" r:id="rId83" display="https://www.pojo.com/wp-content/uploads/2018/10/tandem-targeting-system-1.jpg"/>
  </hyperlinks>
  <pageMargins left="0.7" right="0.7" top="0.75" bottom="0.75" header="0.3" footer="0.3"/>
  <pageSetup orientation="portrait" r:id="rId84"/>
  <drawing r:id="rId85"/>
  <legacyDrawing r:id="rId86"/>
  <controls>
    <mc:AlternateContent xmlns:mc="http://schemas.openxmlformats.org/markup-compatibility/2006">
      <mc:Choice Requires="x14">
        <control shapeId="1026" r:id="rId87" name="CommandButton1">
          <controlPr defaultSize="0" autoLine="0" r:id="rId88">
            <anchor moveWithCells="1">
              <from>
                <xdr:col>12</xdr:col>
                <xdr:colOff>66675</xdr:colOff>
                <xdr:row>2</xdr:row>
                <xdr:rowOff>123825</xdr:rowOff>
              </from>
              <to>
                <xdr:col>15</xdr:col>
                <xdr:colOff>228600</xdr:colOff>
                <xdr:row>6</xdr:row>
                <xdr:rowOff>95250</xdr:rowOff>
              </to>
            </anchor>
          </controlPr>
        </control>
      </mc:Choice>
      <mc:Fallback>
        <control shapeId="1026" r:id="rId87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Bots</vt:lpstr>
      <vt:lpstr>BattleCards</vt:lpstr>
    </vt:vector>
  </TitlesOfParts>
  <Company>Deere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J Dahl</dc:creator>
  <cp:lastModifiedBy>Andrew</cp:lastModifiedBy>
  <dcterms:created xsi:type="dcterms:W3CDTF">2018-10-10T16:51:46Z</dcterms:created>
  <dcterms:modified xsi:type="dcterms:W3CDTF">2018-10-22T12:10:04Z</dcterms:modified>
</cp:coreProperties>
</file>